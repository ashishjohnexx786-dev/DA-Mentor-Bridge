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470b90825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aae7b47929524a33"/>
    <x:sheet xmlns:r="http://schemas.openxmlformats.org/officeDocument/2006/relationships" name="Source_Contracts" sheetId="2" r:id="R0af4a27f1aa845fa"/>
    <x:sheet xmlns:r="http://schemas.openxmlformats.org/officeDocument/2006/relationships" name="Operational_vs_Analytical" sheetId="3" r:id="R090578bfe39b43a5"/>
    <x:sheet xmlns:r="http://schemas.openxmlformats.org/officeDocument/2006/relationships" name="Warehouse_Model" sheetId="4" r:id="R8a815e8e520349c0"/>
    <x:sheet xmlns:r="http://schemas.openxmlformats.org/officeDocument/2006/relationships" name="Key_Strategy" sheetId="5" r:id="Rab761f7c5d784f05"/>
    <x:sheet xmlns:r="http://schemas.openxmlformats.org/officeDocument/2006/relationships" name="SCD_Design" sheetId="6" r:id="R216383c708cf445d"/>
    <x:sheet xmlns:r="http://schemas.openxmlformats.org/officeDocument/2006/relationships" name="ETL_ELT_Plan" sheetId="7" r:id="R859a97dec64b44f4"/>
    <x:sheet xmlns:r="http://schemas.openxmlformats.org/officeDocument/2006/relationships" name="Layered_System" sheetId="8" r:id="R1e203c365f3b42c3"/>
    <x:sheet xmlns:r="http://schemas.openxmlformats.org/officeDocument/2006/relationships" name="Lake_Warehouse_Lakehouse" sheetId="9" r:id="Rae81faaeb4674188"/>
    <x:sheet xmlns:r="http://schemas.openxmlformats.org/officeDocument/2006/relationships" name="Batch_Streaming" sheetId="10" r:id="R7fb9d7fe0e824178"/>
    <x:sheet xmlns:r="http://schemas.openxmlformats.org/officeDocument/2006/relationships" name="Lineage_Metadata" sheetId="11" r:id="R44fbf48f2a9d4ccc"/>
    <x:sheet xmlns:r="http://schemas.openxmlformats.org/officeDocument/2006/relationships" name="Data_Quality" sheetId="12" r:id="R9632c327999e49b1"/>
    <x:sheet xmlns:r="http://schemas.openxmlformats.org/officeDocument/2006/relationships" name="Reconciliation" sheetId="13" r:id="Ra276eaa2f0294783"/>
    <x:sheet xmlns:r="http://schemas.openxmlformats.org/officeDocument/2006/relationships" name="Submission" sheetId="14" r:id="Rc25c56696d4047de"/>
    <x:sheet xmlns:r="http://schemas.openxmlformats.org/officeDocument/2006/relationships" name="QA_Summary" sheetId="15" r:id="Rfc0712e6f90f4d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ea9683c00473b" /><Relationship Type="http://schemas.openxmlformats.org/officeDocument/2006/relationships/theme" Target="/xl/theme/theme1.xml" Id="R1309073f18f0489c" /><Relationship Type="http://schemas.openxmlformats.org/officeDocument/2006/relationships/sharedStrings" Target="/xl/sharedStrings.xml" Id="R7e1d4367587f4640" /><Relationship Type="http://schemas.openxmlformats.org/officeDocument/2006/relationships/worksheet" Target="/xl/worksheets/sheet1.xml" Id="Raae7b47929524a33" /><Relationship Type="http://schemas.openxmlformats.org/officeDocument/2006/relationships/worksheet" Target="/xl/worksheets/sheet2.xml" Id="R0af4a27f1aa845fa" /><Relationship Type="http://schemas.openxmlformats.org/officeDocument/2006/relationships/worksheet" Target="/xl/worksheets/sheet3.xml" Id="R090578bfe39b43a5" /><Relationship Type="http://schemas.openxmlformats.org/officeDocument/2006/relationships/worksheet" Target="/xl/worksheets/sheet4.xml" Id="R8a815e8e520349c0" /><Relationship Type="http://schemas.openxmlformats.org/officeDocument/2006/relationships/worksheet" Target="/xl/worksheets/sheet5.xml" Id="Rab761f7c5d784f05" /><Relationship Type="http://schemas.openxmlformats.org/officeDocument/2006/relationships/worksheet" Target="/xl/worksheets/sheet6.xml" Id="R216383c708cf445d" /><Relationship Type="http://schemas.openxmlformats.org/officeDocument/2006/relationships/worksheet" Target="/xl/worksheets/sheet7.xml" Id="R859a97dec64b44f4" /><Relationship Type="http://schemas.openxmlformats.org/officeDocument/2006/relationships/worksheet" Target="/xl/worksheets/sheet8.xml" Id="R1e203c365f3b42c3" /><Relationship Type="http://schemas.openxmlformats.org/officeDocument/2006/relationships/worksheet" Target="/xl/worksheets/sheet9.xml" Id="Rae81faaeb4674188" /><Relationship Type="http://schemas.openxmlformats.org/officeDocument/2006/relationships/worksheet" Target="/xl/worksheets/sheet10.xml" Id="R7fb9d7fe0e824178" /><Relationship Type="http://schemas.openxmlformats.org/officeDocument/2006/relationships/worksheet" Target="/xl/worksheets/sheet11.xml" Id="R44fbf48f2a9d4ccc" /><Relationship Type="http://schemas.openxmlformats.org/officeDocument/2006/relationships/worksheet" Target="/xl/worksheets/sheet12.xml" Id="R9632c327999e49b1" /><Relationship Type="http://schemas.openxmlformats.org/officeDocument/2006/relationships/worksheet" Target="/xl/worksheets/sheet13.xml" Id="Ra276eaa2f0294783" /><Relationship Type="http://schemas.openxmlformats.org/officeDocument/2006/relationships/worksheet" Target="/xl/worksheets/sheet14.xml" Id="Rc25c56696d4047de" /><Relationship Type="http://schemas.openxmlformats.org/officeDocument/2006/relationships/worksheet" Target="/xl/worksheets/sheet15.xml" Id="Rfc0712e6f90f4d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2" hidden="0" customWidth="1"/>
  </x:cols>
  <x:sheetData>
    <x:row r="1">
      <x:c r="A1" s="10" t="str">
        <x:v>B04 Gate C - Customer Success Renewals</x:v>
      </x:c>
      <x:c r="B1" s="10" t="str">
        <x:v>INTERNAL QA</x:v>
      </x:c>
    </x:row>
    <x:row r="2">
      <x:c r="A2" s="11" t="str">
        <x:v>Purpose</x:v>
      </x:c>
      <x:c r="B2" s="11" t="str">
        <x:v>Design a trustworthy analytical warehouse/platform from operational source contracts.</x:v>
      </x:c>
    </x:row>
    <x:row r="3">
      <x:c r="A3" s="11" t="str">
        <x:v>Protected?</x:v>
      </x:c>
      <x:c r="B3" s="11" t="str">
        <x:v>Yes - lesson/review/tutorial/AI solving closed.</x:v>
      </x:c>
    </x:row>
    <x:row r="4">
      <x:c r="A4" s="11" t="str">
        <x:v>Rule 1</x:v>
      </x:c>
      <x:c r="B4" s="11" t="str">
        <x:v>Keep operational and analytical workload needs separate.</x:v>
      </x:c>
    </x:row>
    <x:row r="5">
      <x:c r="A5" s="11" t="str">
        <x:v>Rule 2</x:v>
      </x:c>
      <x:c r="B5" s="11" t="str">
        <x:v>State every source grain before choosing warehouse fact/dimension structures.</x:v>
      </x:c>
    </x:row>
    <x:row r="6">
      <x:c r="A6" s="11" t="str">
        <x:v>Rule 3</x:v>
      </x:c>
      <x:c r="B6" s="11" t="str">
        <x:v>Surrogate keys do not replace business keys; they solve different problems.</x:v>
      </x:c>
    </x:row>
    <x:row r="7">
      <x:c r="A7" s="11" t="str">
        <x:v>Rule 4</x:v>
      </x:c>
      <x:c r="B7" s="11" t="str">
        <x:v>Historical change needs an explicit SCD decision.</x:v>
      </x:c>
    </x:row>
    <x:row r="8">
      <x:c r="A8" s="11" t="str">
        <x:v>Rule 5</x:v>
      </x:c>
      <x:c r="B8" s="11" t="str">
        <x:v>ETL/ELT/layers are architecture decisions tied to trust, replay and consumer needs.</x:v>
      </x:c>
    </x:row>
    <x:row r="9">
      <x:c r="A9" s="11" t="str">
        <x:v>Rule 6</x:v>
      </x:c>
      <x:c r="B9" s="11" t="str">
        <x:v>Streaming is justified by latency/business outcome, not by trendiness.</x:v>
      </x:c>
    </x:row>
    <x:row r="10">
      <x:c r="A10" s="11" t="str">
        <x:v>Rule 7</x:v>
      </x:c>
      <x:c r="B10" s="11" t="str">
        <x:v>Lineage/metadata/quality are operating controls, not documentation decoration.</x:v>
      </x:c>
    </x:row>
    <x:row r="11">
      <x:c r="A11" s="11" t="str">
        <x:v>Rule 8</x:v>
      </x:c>
      <x:c r="B11" s="11" t="str">
        <x:v>Raw-to-curated reconciliation is mandatory.</x:v>
      </x:c>
    </x:row>
    <x:row r="12">
      <x:c r="A12" s="11" t="str">
        <x:v>Live platform boundary</x:v>
      </x:c>
      <x:c r="B12" s="11" t="str">
        <x:v>No Fabric tenant is required to pass this workbook; current platform docs are reference support.</x:v>
      </x:c>
    </x:row>
    <x:row r="13">
      <x:c r="A13" s="11" t="str">
        <x:v>Generated</x:v>
      </x:c>
      <x:c r="B13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28" hidden="0" customWidth="1"/>
    <x:col min="4" max="4" width="36" hidden="0" customWidth="1"/>
    <x:col min="5" max="5" width="18" hidden="0" customWidth="1"/>
    <x:col min="6" max="6" width="42" hidden="0" customWidth="1"/>
    <x:col min="7" max="7" width="28" hidden="0" customWidth="1"/>
  </x:cols>
  <x:sheetData>
    <x:row r="1">
      <x:c r="A1" s="10" t="str">
        <x:v>Source</x:v>
      </x:c>
      <x:c r="B1" s="10" t="str">
        <x:v>Raw grain</x:v>
      </x:c>
      <x:c r="C1" s="10" t="str">
        <x:v>Natural/business key</x:v>
      </x:c>
      <x:c r="D1" s="10" t="str">
        <x:v>Operational use</x:v>
      </x:c>
      <x:c r="E1" s="10" t="str">
        <x:v>Freshness</x:v>
      </x:c>
      <x:c r="F1" s="10" t="str">
        <x:v>Analytical risk</x:v>
      </x:c>
      <x:c r="G1" s="10" t="str">
        <x:v>Your warehouse role</x:v>
      </x:c>
    </x:row>
    <x:row r="2">
      <x:c r="A2" s="11" t="str">
        <x:v>accounts.csv</x:v>
      </x:c>
      <x:c r="B2" s="11" t="str">
        <x:v>one row per current account</x:v>
      </x:c>
      <x:c r="C2" s="11" t="str">
        <x:v>account_id</x:v>
      </x:c>
      <x:c r="D2" s="11" t="str">
        <x:v>account CRM</x:v>
      </x:c>
      <x:c r="E2" s="11" t="str">
        <x:v>Varies</x:v>
      </x:c>
      <x:c r="F2" s="11" t="str"/>
      <x:c r="G2" s="11" t="str">
        <x:v>Undecided</x:v>
      </x:c>
    </x:row>
    <x:row r="3">
      <x:c r="A3" s="11" t="str">
        <x:v>account_profile_changes.csv</x:v>
      </x:c>
      <x:c r="B3" s="11" t="str">
        <x:v>one row per account profile change</x:v>
      </x:c>
      <x:c r="C3" s="11" t="str">
        <x:v>account_id</x:v>
      </x:c>
      <x:c r="D3" s="11" t="str">
        <x:v>account profile changes</x:v>
      </x:c>
      <x:c r="E3" s="11" t="str">
        <x:v>Varies</x:v>
      </x:c>
      <x:c r="F3" s="11" t="str"/>
      <x:c r="G3" s="11" t="str">
        <x:v>Undecided</x:v>
      </x:c>
    </x:row>
    <x:row r="4">
      <x:c r="A4" s="11" t="str">
        <x:v>subscriptions.csv</x:v>
      </x:c>
      <x:c r="B4" s="11" t="str">
        <x:v>one row per subscription</x:v>
      </x:c>
      <x:c r="C4" s="11" t="str">
        <x:v>subscription_id</x:v>
      </x:c>
      <x:c r="D4" s="11" t="str">
        <x:v>subscription billing</x:v>
      </x:c>
      <x:c r="E4" s="11" t="str">
        <x:v>Varies</x:v>
      </x:c>
      <x:c r="F4" s="11" t="str"/>
      <x:c r="G4" s="11" t="str">
        <x:v>Undecided</x:v>
      </x:c>
    </x:row>
    <x:row r="5">
      <x:c r="A5" s="11" t="str">
        <x:v>renewal_opportunities.csv</x:v>
      </x:c>
      <x:c r="B5" s="11" t="str">
        <x:v>one row per renewal opportunity</x:v>
      </x:c>
      <x:c r="C5" s="11" t="str">
        <x:v>renewal_id</x:v>
      </x:c>
      <x:c r="D5" s="11" t="str">
        <x:v>renewal sales process</x:v>
      </x:c>
      <x:c r="E5" s="11" t="str">
        <x:v>Varies</x:v>
      </x:c>
      <x:c r="F5" s="11" t="str"/>
      <x:c r="G5" s="11" t="str">
        <x:v>Undecided</x:v>
      </x:c>
    </x:row>
    <x:row r="6">
      <x:c r="A6" s="11" t="str">
        <x:v>customer_interactions.csv</x:v>
      </x:c>
      <x:c r="B6" s="11" t="str">
        <x:v>one row per customer interaction</x:v>
      </x:c>
      <x:c r="C6" s="11" t="str">
        <x:v>interaction_id</x:v>
      </x:c>
      <x:c r="D6" s="11" t="str">
        <x:v>CS activity</x:v>
      </x:c>
      <x:c r="E6" s="11" t="str">
        <x:v>Varies</x:v>
      </x:c>
      <x:c r="F6" s="11" t="str"/>
      <x:c r="G6" s="11" t="str">
        <x:v>Undecided</x:v>
      </x:c>
    </x:row>
    <x:row r="7">
      <x:c r="A7" s="11" t="str">
        <x:v>product_usage_daily.csv</x:v>
      </x:c>
      <x:c r="B7" s="11" t="str">
        <x:v>one row per account-day usage observation</x:v>
      </x:c>
      <x:c r="C7" s="11" t="str">
        <x:v>usage_id</x:v>
      </x:c>
      <x:c r="D7" s="11" t="str">
        <x:v>usage telemetry</x:v>
      </x:c>
      <x:c r="E7" s="11" t="str">
        <x:v>Varies</x:v>
      </x:c>
      <x:c r="F7" s="11" t="str"/>
      <x:c r="G7" s="11" t="str">
        <x:v>Undecided</x:v>
      </x:c>
    </x:row>
    <x:row r="8">
      <x:c r="A8" s="11" t="str">
        <x:v>monthly_segment_targets.csv</x:v>
      </x:c>
      <x:c r="B8" s="11" t="str">
        <x:v>one row per month-segment target</x:v>
      </x:c>
      <x:c r="C8" s="11" t="str">
        <x:v>month+segment</x:v>
      </x:c>
      <x:c r="D8" s="11" t="str">
        <x:v>planning</x:v>
      </x:c>
      <x:c r="E8" s="11" t="str">
        <x:v>Varies</x:v>
      </x:c>
      <x:c r="F8" s="11" t="str"/>
      <x:c r="G8" s="11" t="str">
        <x:v>Undecided</x:v>
      </x:c>
    </x:row>
  </x:sheetData>
  <x:dataValidations count="1">
    <x:dataValidation type="list" sqref="G2:G8">
      <x:formula1>"Dimension,Fact,Bridge,Staging only,Reference/metadata,Undecided"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40" hidden="0" customWidth="1"/>
    <x:col min="5" max="5" width="40" hidden="0" customWidth="1"/>
    <x:col min="6" max="6" width="42" hidden="0" customWidth="1"/>
  </x:cols>
  <x:sheetData>
    <x:row r="1">
      <x:c r="A1" s="10" t="str">
        <x:v>Decision area</x:v>
      </x:c>
      <x:c r="B1" s="10" t="str">
        <x:v>Operational requirement</x:v>
      </x:c>
      <x:c r="C1" s="10" t="str">
        <x:v>Analytical requirement</x:v>
      </x:c>
      <x:c r="D1" s="10" t="str">
        <x:v>Why separate / share?</x:v>
      </x:c>
      <x:c r="E1" s="10" t="str">
        <x:v>Risk if mixed</x:v>
      </x:c>
      <x:c r="F1" s="10" t="str">
        <x:v>Your decision</x:v>
      </x:c>
    </x:row>
    <x:row r="2">
      <x:c r="A2" s="11" t="str">
        <x:v>Read/write pattern</x:v>
      </x:c>
      <x:c r="B2" s="11" t="str"/>
      <x:c r="C2" s="11" t="str"/>
      <x:c r="D2" s="11" t="str"/>
      <x:c r="E2" s="11" t="str"/>
      <x:c r="F2" s="11" t="str"/>
    </x:row>
    <x:row r="3">
      <x:c r="A3" s="11" t="str">
        <x:v>Typical query shape</x:v>
      </x:c>
      <x:c r="B3" s="11" t="str"/>
      <x:c r="C3" s="11" t="str"/>
      <x:c r="D3" s="11" t="str"/>
      <x:c r="E3" s="11" t="str"/>
      <x:c r="F3" s="11" t="str"/>
    </x:row>
    <x:row r="4">
      <x:c r="A4" s="11" t="str">
        <x:v>Concurrency/latency</x:v>
      </x:c>
      <x:c r="B4" s="11" t="str"/>
      <x:c r="C4" s="11" t="str"/>
      <x:c r="D4" s="11" t="str"/>
      <x:c r="E4" s="11" t="str"/>
      <x:c r="F4" s="11" t="str"/>
    </x:row>
    <x:row r="5">
      <x:c r="A5" s="11" t="str">
        <x:v>History</x:v>
      </x:c>
      <x:c r="B5" s="11" t="str"/>
      <x:c r="C5" s="11" t="str"/>
      <x:c r="D5" s="11" t="str"/>
      <x:c r="E5" s="11" t="str"/>
      <x:c r="F5" s="11" t="str"/>
    </x:row>
    <x:row r="6">
      <x:c r="A6" s="11" t="str">
        <x:v>Data integration</x:v>
      </x:c>
      <x:c r="B6" s="11" t="str"/>
      <x:c r="C6" s="11" t="str"/>
      <x:c r="D6" s="11" t="str"/>
      <x:c r="E6" s="11" t="str"/>
      <x:c r="F6" s="11" t="str"/>
    </x:row>
    <x:row r="7">
      <x:c r="A7" s="11" t="str">
        <x:v>Schema/modeling</x:v>
      </x:c>
      <x:c r="B7" s="11" t="str"/>
      <x:c r="C7" s="11" t="str"/>
      <x:c r="D7" s="11" t="str"/>
      <x:c r="E7" s="11" t="str"/>
      <x:c r="F7" s="11" t="str"/>
    </x:row>
    <x:row r="8">
      <x:c r="A8" s="11" t="str">
        <x:v>User/workload</x:v>
      </x:c>
      <x:c r="B8" s="11" t="str"/>
      <x:c r="C8" s="11" t="str"/>
      <x:c r="D8" s="11" t="str"/>
      <x:c r="E8" s="11" t="str"/>
      <x:c r="F8" s="11" t="str"/>
    </x:row>
    <x:row r="9">
      <x:c r="A9" s="11" t="str">
        <x:v>Failure/recovery</x:v>
      </x:c>
      <x:c r="B9" s="11" t="str"/>
      <x:c r="C9" s="11" t="str"/>
      <x:c r="D9" s="11" t="str"/>
      <x:c r="E9" s="11" t="str"/>
      <x:c r="F9" s="11" t="str"/>
    </x:row>
    <x:row r="10">
      <x:c r="A10" s="11" t="str">
        <x:v>Source protection</x:v>
      </x:c>
      <x:c r="B10" s="11" t="str"/>
      <x:c r="C10" s="11" t="str"/>
      <x:c r="D10" s="11" t="str"/>
      <x:c r="E10" s="11" t="str"/>
      <x:c r="F10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24" hidden="0" customWidth="1"/>
    <x:col min="5" max="5" width="30" hidden="0" customWidth="1"/>
    <x:col min="6" max="6" width="34" hidden="0" customWidth="1"/>
    <x:col min="7" max="7" width="28" hidden="0" customWidth="1"/>
    <x:col min="8" max="8" width="44" hidden="0" customWidth="1"/>
  </x:cols>
  <x:sheetData>
    <x:row r="1">
      <x:c r="A1" s="10" t="str">
        <x:v>Table</x:v>
      </x:c>
      <x:c r="B1" s="10" t="str">
        <x:v>Type</x:v>
      </x:c>
      <x:c r="C1" s="10" t="str">
        <x:v>Target grain</x:v>
      </x:c>
      <x:c r="D1" s="10" t="str">
        <x:v>Surrogate key</x:v>
      </x:c>
      <x:c r="E1" s="10" t="str">
        <x:v>Business/natural key</x:v>
      </x:c>
      <x:c r="F1" s="10" t="str">
        <x:v>Source(s)</x:v>
      </x:c>
      <x:c r="G1" s="10" t="str">
        <x:v>History treatment</x:v>
      </x:c>
      <x:c r="H1" s="10" t="str">
        <x:v>Notes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</x:row>
  </x:sheetData>
  <x:dataValidations count="1">
    <x:dataValidation type="list" sqref="B2:B16">
      <x:formula1>"Dimension,Fact,Bridge,Date dimension,Audit/metadata"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2" hidden="0" customWidth="1"/>
    <x:col min="4" max="4" width="44" hidden="0" customWidth="1"/>
    <x:col min="5" max="5" width="30" hidden="0" customWidth="1"/>
    <x:col min="6" max="6" width="36" hidden="0" customWidth="1"/>
    <x:col min="7" max="7" width="38" hidden="0" customWidth="1"/>
  </x:cols>
  <x:sheetData>
    <x:row r="1">
      <x:c r="A1" s="10" t="str">
        <x:v>Entity/Table</x:v>
      </x:c>
      <x:c r="B1" s="10" t="str">
        <x:v>Business key</x:v>
      </x:c>
      <x:c r="C1" s="10" t="str">
        <x:v>Surrogate key needed?</x:v>
      </x:c>
      <x:c r="D1" s="10" t="str">
        <x:v>Why/why not</x:v>
      </x:c>
      <x:c r="E1" s="10" t="str">
        <x:v>Late-arriving/inferred issue?</x:v>
      </x:c>
      <x:c r="F1" s="10" t="str">
        <x:v>Uniqueness check</x:v>
      </x:c>
      <x:c r="G1" s="10" t="str">
        <x:v>Decision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</x:row>
  </x:sheetData>
  <x:dataValidations count="1">
    <x:dataValidation type="list" sqref="C2:C13">
      <x:formula1>"Yes,No,Maybe"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2" hidden="0" customWidth="1"/>
    <x:col min="4" max="4" width="32" hidden="0" customWidth="1"/>
    <x:col min="5" max="5" width="40" hidden="0" customWidth="1"/>
    <x:col min="6" max="6" width="36" hidden="0" customWidth="1"/>
    <x:col min="7" max="7" width="42" hidden="0" customWidth="1"/>
    <x:col min="8" max="8" width="38" hidden="0" customWidth="1"/>
  </x:cols>
  <x:sheetData>
    <x:row r="1">
      <x:c r="A1" s="10" t="str">
        <x:v>Dimension/attribute</x:v>
      </x:c>
      <x:c r="B1" s="10" t="str">
        <x:v>Business change</x:v>
      </x:c>
      <x:c r="C1" s="10" t="str">
        <x:v>Type 0/1/2/3/other</x:v>
      </x:c>
      <x:c r="D1" s="10" t="str">
        <x:v>Surrogate-key behavior</x:v>
      </x:c>
      <x:c r="E1" s="10" t="str">
        <x:v>Effective/end/current fields</x:v>
      </x:c>
      <x:c r="F1" s="10" t="str">
        <x:v>Fact lookup rule</x:v>
      </x:c>
      <x:c r="G1" s="10" t="str">
        <x:v>History question supported</x:v>
      </x:c>
      <x:c r="H1" s="10" t="str">
        <x:v>Your decision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dataValidations count="1">
    <x:dataValidation type="list" sqref="C2:C13">
      <x:formula1>"Type 0,Type 1,Type 2,Type 3,Not applicable,Other"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18" hidden="0" customWidth="1"/>
    <x:col min="5" max="5" width="30" hidden="0" customWidth="1"/>
    <x:col min="6" max="6" width="38" hidden="0" customWidth="1"/>
    <x:col min="7" max="7" width="38" hidden="0" customWidth="1"/>
    <x:col min="8" max="8" width="44" hidden="0" customWidth="1"/>
  </x:cols>
  <x:sheetData>
    <x:row r="1">
      <x:c r="A1" s="10" t="str">
        <x:v>Stage/step</x:v>
      </x:c>
      <x:c r="B1" s="10" t="str">
        <x:v>Input</x:v>
      </x:c>
      <x:c r="C1" s="10" t="str">
        <x:v>Transform where?</x:v>
      </x:c>
      <x:c r="D1" s="10" t="str">
        <x:v>ETL/ELT/Hybrid</x:v>
      </x:c>
      <x:c r="E1" s="10" t="str">
        <x:v>Output</x:v>
      </x:c>
      <x:c r="F1" s="10" t="str">
        <x:v>Validation</x:v>
      </x:c>
      <x:c r="G1" s="10" t="str">
        <x:v>Replay/recovery</x:v>
      </x:c>
      <x:c r="H1" s="10" t="str">
        <x:v>Reason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</x:sheetData>
  <x:dataValidations count="1">
    <x:dataValidation type="list" sqref="D2:D11">
      <x:formula1>"ETL,ELT,Hybrid"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6" hidden="0" customWidth="1"/>
    <x:col min="4" max="4" width="34" hidden="0" customWidth="1"/>
    <x:col min="5" max="5" width="28" hidden="0" customWidth="1"/>
    <x:col min="6" max="6" width="38" hidden="0" customWidth="1"/>
    <x:col min="7" max="7" width="46" hidden="0" customWidth="1"/>
  </x:cols>
  <x:sheetData>
    <x:row r="1">
      <x:c r="A1" s="10" t="str">
        <x:v>Layer</x:v>
      </x:c>
      <x:c r="B1" s="10" t="str">
        <x:v>Purpose</x:v>
      </x:c>
      <x:c r="C1" s="10" t="str">
        <x:v>Allowed data state</x:v>
      </x:c>
      <x:c r="D1" s="10" t="str">
        <x:v>Example asset</x:v>
      </x:c>
      <x:c r="E1" s="10" t="str">
        <x:v>Consumer</x:v>
      </x:c>
      <x:c r="F1" s="10" t="str">
        <x:v>Quality gate</x:v>
      </x:c>
      <x:c r="G1" s="10" t="str">
        <x:v>Replay/source-of-truth rule</x:v>
      </x:c>
    </x:row>
    <x:row r="2">
      <x:c r="A2" s="11" t="str">
        <x:v>Source/Operational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Landing/Bronze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Validated/Silver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Curated/Gold/Warehouse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Semantic/Serving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Monitoring/Metadata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Quarantine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Archive/Retention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Other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/>
      <x:c r="B11" s="11"/>
      <x:c r="C11" s="11"/>
      <x:c r="D11" s="11"/>
      <x:c r="E11" s="11"/>
      <x:c r="F11" s="11"/>
      <x:c r="G11" s="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42" hidden="0" customWidth="1"/>
    <x:col min="6" max="6" width="24" hidden="0" customWidth="1"/>
    <x:col min="7" max="7" width="46" hidden="0" customWidth="1"/>
  </x:cols>
  <x:sheetData>
    <x:row r="1">
      <x:c r="A1" s="10" t="str">
        <x:v>Workload/data</x:v>
      </x:c>
      <x:c r="B1" s="10" t="str">
        <x:v>Warehouse</x:v>
      </x:c>
      <x:c r="C1" s="10" t="str">
        <x:v>Lake</x:v>
      </x:c>
      <x:c r="D1" s="10" t="str">
        <x:v>Lakehouse</x:v>
      </x:c>
      <x:c r="E1" s="10" t="str">
        <x:v>Decision criteria</x:v>
      </x:c>
      <x:c r="F1" s="10" t="str">
        <x:v>Chosen fit</x:v>
      </x:c>
      <x:c r="G1" s="10" t="str">
        <x:v>Reason</x:v>
      </x:c>
    </x:row>
    <x:row r="2">
      <x:c r="A2" s="11" t="str">
        <x:v>Structured BI marts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Semi-structured raw events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Data science exploration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Governed star schema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Large raw history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SQL-first analytics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Mixed file/table workloads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Open-format interoperability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Your case</x:v>
      </x:c>
      <x:c r="B10" s="11" t="str"/>
      <x:c r="C10" s="11" t="str"/>
      <x:c r="D10" s="11" t="str"/>
      <x:c r="E10" s="11" t="str"/>
      <x:c r="F10" s="11" t="str"/>
      <x:c r="G10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6" hidden="0" customWidth="1"/>
    <x:col min="4" max="4" width="42" hidden="0" customWidth="1"/>
    <x:col min="5" max="5" width="20" hidden="0" customWidth="1"/>
    <x:col min="6" max="6" width="36" hidden="0" customWidth="1"/>
    <x:col min="7" max="7" width="36" hidden="0" customWidth="1"/>
    <x:col min="8" max="8" width="38" hidden="0" customWidth="1"/>
  </x:cols>
  <x:sheetData>
    <x:row r="1">
      <x:c r="A1" s="10" t="str">
        <x:v>Flow/use case</x:v>
      </x:c>
      <x:c r="B1" s="10" t="str">
        <x:v>Freshness SLA</x:v>
      </x:c>
      <x:c r="C1" s="10" t="str">
        <x:v>Batch / stream / micro-batch</x:v>
      </x:c>
      <x:c r="D1" s="10" t="str">
        <x:v>Why</x:v>
      </x:c>
      <x:c r="E1" s="10" t="str">
        <x:v>Event time needed?</x:v>
      </x:c>
      <x:c r="F1" s="10" t="str">
        <x:v>Late-data rule</x:v>
      </x:c>
      <x:c r="G1" s="10" t="str">
        <x:v>Replay/idempotence</x:v>
      </x:c>
      <x:c r="H1" s="10" t="str">
        <x:v>Operational cost/risk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</x:sheetData>
  <x:dataValidations count="1">
    <x:dataValidation type="list" sqref="C2:C11">
      <x:formula1>"Batch,Streaming,Micro-batch,Hybrid,Not applicable"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34" hidden="0" customWidth="1"/>
    <x:col min="4" max="4" width="44" hidden="0" customWidth="1"/>
    <x:col min="5" max="5" width="34" hidden="0" customWidth="1"/>
    <x:col min="6" max="6" width="22" hidden="0" customWidth="1"/>
    <x:col min="7" max="7" width="44" hidden="0" customWidth="1"/>
    <x:col min="8" max="8" width="44" hidden="0" customWidth="1"/>
  </x:cols>
  <x:sheetData>
    <x:row r="1">
      <x:c r="A1" s="10" t="str">
        <x:v>Asset</x:v>
      </x:c>
      <x:c r="B1" s="10" t="str">
        <x:v>Owner</x:v>
      </x:c>
      <x:c r="C1" s="10" t="str">
        <x:v>Source/upstream</x:v>
      </x:c>
      <x:c r="D1" s="10" t="str">
        <x:v>Transformation</x:v>
      </x:c>
      <x:c r="E1" s="10" t="str">
        <x:v>Downstream</x:v>
      </x:c>
      <x:c r="F1" s="10" t="str">
        <x:v>Refresh/SLA</x:v>
      </x:c>
      <x:c r="G1" s="10" t="str">
        <x:v>Important metadata</x:v>
      </x:c>
      <x:c r="H1" s="10" t="str">
        <x:v>Impact if changed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4" hidden="0" customWidth="1"/>
    <x:col min="4" max="4" width="16" hidden="0" customWidth="1"/>
    <x:col min="5" max="5" width="20" hidden="0" customWidth="1"/>
    <x:col min="6" max="6" width="22" hidden="0" customWidth="1"/>
    <x:col min="7" max="7" width="40" hidden="0" customWidth="1"/>
    <x:col min="8" max="8" width="19" hidden="0" customWidth="1"/>
    <x:col min="9" max="9" width="36" hidden="0" customWidth="1"/>
  </x:cols>
  <x:sheetData>
    <x:row r="1">
      <x:c r="A1" s="10" t="str">
        <x:v>Check</x:v>
      </x:c>
      <x:c r="B1" s="10" t="str">
        <x:v>Dimension</x:v>
      </x:c>
      <x:c r="C1" s="10" t="str">
        <x:v>Rule</x:v>
      </x:c>
      <x:c r="D1" s="10" t="str">
        <x:v>Severity</x:v>
      </x:c>
      <x:c r="E1" s="10" t="str">
        <x:v>Observed</x:v>
      </x:c>
      <x:c r="F1" s="10" t="str">
        <x:v>Expected</x:v>
      </x:c>
      <x:c r="G1" s="10" t="str">
        <x:v>Owner/action</x:v>
      </x:c>
      <x:c r="H1" s="10" t="str">
        <x:v>Block publish?</x:v>
      </x:c>
      <x:c r="I1" s="10" t="str">
        <x:v>Evidence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</x:row>
    <x:row r="17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</x:row>
  </x:sheetData>
  <x:dataValidations count="2">
    <x:dataValidation type="list" sqref="D2:D17">
      <x:formula1>"INFO,WARN,BLOCK"</x:formula1>
    </x:dataValidation>
    <x:dataValidation type="list" sqref="H2:H17">
      <x:formula1>"Yes,No"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52" hidden="0" customWidth="1"/>
  </x:cols>
  <x:sheetData>
    <x:row r="1">
      <x:c r="A1" s="10" t="str">
        <x:v>Control</x:v>
      </x:c>
      <x:c r="B1" s="10" t="str">
        <x:v>Raw expected</x:v>
      </x:c>
      <x:c r="C1" s="10" t="str">
        <x:v>Curated observed</x:v>
      </x:c>
      <x:c r="D1" s="10" t="str">
        <x:v>Difference</x:v>
      </x:c>
      <x:c r="E1" s="10" t="str">
        <x:v>Status</x:v>
      </x:c>
      <x:c r="F1" s="10" t="str">
        <x:v>Evidence / query</x:v>
      </x:c>
    </x:row>
    <x:row r="2">
      <x:c r="A2" s="11" t="str">
        <x:v>Account rows</x:v>
      </x:c>
      <x:c r="B2" s="11" t="str"/>
      <x:c r="C2" s="11" t="str"/>
      <x:c r="D2" s="11" t="str">
        <x:f>IF(OR(B2="",C2=""),"",C2-B2)</x:f>
      </x:c>
      <x:c r="E2" s="11" t="str">
        <x:f>IF(D2="","",IF(ABS(D2)&lt;0.01,"PASS","CHECK"))</x:f>
      </x:c>
      <x:c r="F2" s="11" t="str"/>
    </x:row>
    <x:row r="3">
      <x:c r="A3" s="11" t="str">
        <x:v>Account profile change rows</x:v>
      </x:c>
      <x:c r="B3" s="11" t="str"/>
      <x:c r="C3" s="11" t="str"/>
      <x:c r="D3" s="11" t="str">
        <x:f>IF(OR(B3="",C3=""),"",C3-B3)</x:f>
      </x:c>
      <x:c r="E3" s="11" t="str">
        <x:f>IF(D3="","",IF(ABS(D3)&lt;0.01,"PASS","CHECK"))</x:f>
      </x:c>
      <x:c r="F3" s="11" t="str"/>
    </x:row>
    <x:row r="4">
      <x:c r="A4" s="11" t="str">
        <x:v>Subscription rows</x:v>
      </x:c>
      <x:c r="B4" s="11" t="str"/>
      <x:c r="C4" s="11" t="str"/>
      <x:c r="D4" s="11" t="str">
        <x:f>IF(OR(B4="",C4=""),"",C4-B4)</x:f>
      </x:c>
      <x:c r="E4" s="11" t="str">
        <x:f>IF(D4="","",IF(ABS(D4)&lt;0.01,"PASS","CHECK"))</x:f>
      </x:c>
      <x:c r="F4" s="11" t="str"/>
    </x:row>
    <x:row r="5">
      <x:c r="A5" s="11" t="str">
        <x:v>Subscription MRR total</x:v>
      </x:c>
      <x:c r="B5" s="11" t="str"/>
      <x:c r="C5" s="11" t="str"/>
      <x:c r="D5" s="11" t="str">
        <x:f>IF(OR(B5="",C5=""),"",C5-B5)</x:f>
      </x:c>
      <x:c r="E5" s="11" t="str">
        <x:f>IF(D5="","",IF(ABS(D5)&lt;0.01,"PASS","CHECK"))</x:f>
      </x:c>
      <x:c r="F5" s="11" t="str"/>
    </x:row>
    <x:row r="6">
      <x:c r="A6" s="11" t="str">
        <x:v>Renewal rows</x:v>
      </x:c>
      <x:c r="B6" s="11" t="str"/>
      <x:c r="C6" s="11" t="str"/>
      <x:c r="D6" s="11" t="str">
        <x:f>IF(OR(B6="",C6=""),"",C6-B6)</x:f>
      </x:c>
      <x:c r="E6" s="11" t="str">
        <x:f>IF(D6="","",IF(ABS(D6)&lt;0.01,"PASS","CHECK"))</x:f>
      </x:c>
      <x:c r="F6" s="11" t="str"/>
    </x:row>
    <x:row r="7">
      <x:c r="A7" s="11" t="str">
        <x:v>Renewal value total</x:v>
      </x:c>
      <x:c r="B7" s="11" t="str"/>
      <x:c r="C7" s="11" t="str"/>
      <x:c r="D7" s="11" t="str">
        <x:f>IF(OR(B7="",C7=""),"",C7-B7)</x:f>
      </x:c>
      <x:c r="E7" s="11" t="str">
        <x:f>IF(D7="","",IF(ABS(D7)&lt;0.01,"PASS","CHECK"))</x:f>
      </x:c>
      <x:c r="F7" s="11" t="str"/>
    </x:row>
    <x:row r="8">
      <x:c r="A8" s="11" t="str">
        <x:v>Interaction rows</x:v>
      </x:c>
      <x:c r="B8" s="11" t="str"/>
      <x:c r="C8" s="11" t="str"/>
      <x:c r="D8" s="11" t="str">
        <x:f>IF(OR(B8="",C8=""),"",C8-B8)</x:f>
      </x:c>
      <x:c r="E8" s="11" t="str">
        <x:f>IF(D8="","",IF(ABS(D8)&lt;0.01,"PASS","CHECK"))</x:f>
      </x:c>
      <x:c r="F8" s="11" t="str"/>
    </x:row>
    <x:row r="9">
      <x:c r="A9" s="11" t="str">
        <x:v>Usage rows</x:v>
      </x:c>
      <x:c r="B9" s="11" t="str"/>
      <x:c r="C9" s="11" t="str"/>
      <x:c r="D9" s="11" t="str">
        <x:f>IF(OR(B9="",C9=""),"",C9-B9)</x:f>
      </x:c>
      <x:c r="E9" s="11" t="str">
        <x:f>IF(D9="","",IF(ABS(D9)&lt;0.01,"PASS","CHECK"))</x:f>
      </x:c>
      <x:c r="F9" s="11" t="str"/>
    </x:row>
    <x:row r="10">
      <x:c r="A10" s="11" t="str">
        <x:v>Orphan usage rows</x:v>
      </x:c>
      <x:c r="B10" s="11" t="str"/>
      <x:c r="C10" s="11" t="str"/>
      <x:c r="D10" s="11" t="str">
        <x:f>IF(OR(B10="",C10=""),"",C10-B10)</x:f>
      </x:c>
      <x:c r="E10" s="11" t="str">
        <x:f>IF(D10="","",IF(ABS(D10)&lt;0.01,"PASS","CHECK"))</x:f>
      </x:c>
      <x:c r="F10" s="11" t="str"/>
    </x:row>
    <x:row r="11">
      <x:c r="A11" s="11" t="str">
        <x:v>Target rows</x:v>
      </x:c>
      <x:c r="B11" s="11" t="str"/>
      <x:c r="C11" s="11" t="str"/>
      <x:c r="D11" s="11" t="str">
        <x:f>IF(OR(B11="",C11=""),"",C11-B11)</x:f>
      </x:c>
      <x:c r="E11" s="11" t="str">
        <x:f>IF(D11="","",IF(ABS(D11)&lt;0.01,"PASS","CHECK"))</x:f>
      </x:c>
      <x:c r="F11" s="11" t="str"/>
    </x:row>
    <x:row r="12">
      <x:c r="A12" s="11" t="str">
        <x:v>Duplicate account-change pairs</x:v>
      </x:c>
      <x:c r="B12" s="11" t="str"/>
      <x:c r="C12" s="11" t="str"/>
      <x:c r="D12" s="11" t="str">
        <x:f>IF(OR(B12="",C12=""),"",C12-B12)</x:f>
      </x:c>
      <x:c r="E12" s="11" t="str">
        <x:f>IF(D12="","",IF(ABS(D12)&lt;0.01,"PASS","CHECK"))</x:f>
      </x:c>
      <x:c r="F12" s="11" t="str"/>
    </x:row>
    <x:row r="13">
      <x:c r="A13" s="11" t="str">
        <x:v>Extra control 1</x:v>
      </x:c>
      <x:c r="B13" s="11" t="str"/>
      <x:c r="C13" s="11" t="str"/>
      <x:c r="D13" s="11" t="str">
        <x:f>IF(OR(B13="",C13=""),"",C13-B13)</x:f>
      </x:c>
      <x:c r="E13" s="11" t="str">
        <x:f>IF(D13="","",IF(ABS(D13)&lt;0.01,"PASS","CHECK"))</x:f>
      </x:c>
      <x:c r="F13" s="11" t="str"/>
    </x:row>
    <x:row r="14">
      <x:c r="A14" s="11" t="str">
        <x:v>Extra control 2</x:v>
      </x:c>
      <x:c r="B14" s="11" t="str"/>
      <x:c r="C14" s="11" t="str"/>
      <x:c r="D14" s="11" t="str">
        <x:f>IF(OR(B14="",C14=""),"",C14-B14)</x:f>
      </x:c>
      <x:c r="E14" s="11" t="str">
        <x:f>IF(D14="","",IF(ABS(D14)&lt;0.01,"PASS","CHECK"))</x:f>
      </x:c>
      <x:c r="F14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2" hidden="0" customWidth="1"/>
  </x:cols>
  <x:sheetData>
    <x:row r="1">
      <x:c r="A1" s="10" t="str">
        <x:v>Evidence item</x:v>
      </x:c>
      <x:c r="B1" s="10" t="str">
        <x:v>Your response / artifact</x:v>
      </x:c>
    </x:row>
    <x:row r="2">
      <x:c r="A2" s="11" t="str">
        <x:v>Operational vs analytical boundary</x:v>
      </x:c>
      <x:c r="B2" s="11" t="str"/>
    </x:row>
    <x:row r="3">
      <x:c r="A3" s="11" t="str">
        <x:v>Warehouse/lakehouse architecture</x:v>
      </x:c>
      <x:c r="B3" s="11" t="str"/>
    </x:row>
    <x:row r="4">
      <x:c r="A4" s="11" t="str">
        <x:v>Fact/dimension grain</x:v>
      </x:c>
      <x:c r="B4" s="11" t="str"/>
    </x:row>
    <x:row r="5">
      <x:c r="A5" s="11" t="str">
        <x:v>Business vs surrogate key strategy</x:v>
      </x:c>
      <x:c r="B5" s="11" t="str"/>
    </x:row>
    <x:row r="6">
      <x:c r="A6" s="11" t="str">
        <x:v>SCD strategy</x:v>
      </x:c>
      <x:c r="B6" s="11" t="str"/>
    </x:row>
    <x:row r="7">
      <x:c r="A7" s="11" t="str">
        <x:v>ETL/ELT decision</x:v>
      </x:c>
      <x:c r="B7" s="11" t="str"/>
    </x:row>
    <x:row r="8">
      <x:c r="A8" s="11" t="str">
        <x:v>Layering / replay</x:v>
      </x:c>
      <x:c r="B8" s="11" t="str"/>
    </x:row>
    <x:row r="9">
      <x:c r="A9" s="11" t="str">
        <x:v>Batch/streaming decision</x:v>
      </x:c>
      <x:c r="B9" s="11" t="str"/>
    </x:row>
    <x:row r="10">
      <x:c r="A10" s="11" t="str">
        <x:v>Lineage/metadata evidence</x:v>
      </x:c>
      <x:c r="B10" s="11" t="str"/>
    </x:row>
    <x:row r="11">
      <x:c r="A11" s="11" t="str">
        <x:v>Quality controls</x:v>
      </x:c>
      <x:c r="B11" s="11" t="str"/>
    </x:row>
    <x:row r="12">
      <x:c r="A12" s="11" t="str">
        <x:v>Raw-to-curated reconciliation</x:v>
      </x:c>
      <x:c r="B12" s="11" t="str"/>
    </x:row>
    <x:row r="13">
      <x:c r="A13" s="11" t="str">
        <x:v>Failure/recovery example</x:v>
      </x:c>
      <x:c r="B13" s="11" t="str"/>
    </x:row>
    <x:row r="14">
      <x:c r="A14" s="11" t="str">
        <x:v>One architecture alternative rejected</x:v>
      </x:c>
      <x:c r="B14" s="11" t="str"/>
    </x:row>
    <x:row r="15">
      <x:c r="A15" s="11" t="str">
        <x:v>60-90 second engineering defense</x:v>
      </x:c>
      <x:c r="B15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</x:cols>
  <x:sheetData>
    <x:row r="1">
      <x:c r="A1" s="10" t="str">
        <x:v>Warehouse evidence summary</x:v>
      </x:c>
      <x:c r="B1" s="10" t="str">
        <x:v>Value</x:v>
      </x:c>
    </x:row>
    <x:row r="2">
      <x:c r="A2" s="11" t="str">
        <x:v>Sources inventoried</x:v>
      </x:c>
      <x:c r="B2" s="11" t="n">
        <x:v>7</x:v>
      </x:c>
    </x:row>
    <x:row r="3">
      <x:c r="A3" s="11" t="str">
        <x:v>Warehouse model rows proposed</x:v>
      </x:c>
      <x:c r="B3" s="11" t="n">
        <x:f>COUNTA(Warehouse_Model!A2:A16)</x:f>
        <x:v>15</x:v>
      </x:c>
    </x:row>
    <x:row r="4">
      <x:c r="A4" s="11" t="str">
        <x:v>Quality controls documented</x:v>
      </x:c>
      <x:c r="B4" s="11" t="n">
        <x:f>COUNTA(Data_Quality!A2:A17)</x:f>
        <x:v>16</x:v>
      </x:c>
    </x:row>
    <x:row r="5">
      <x:c r="A5" s="11" t="str">
        <x:v>Reconciliation PASS rows</x:v>
      </x:c>
      <x:c r="B5" s="11" t="n">
        <x:f>COUNTIF(Reconciliation!E2:E30,"PASS")</x:f>
        <x:v>0</x:v>
      </x:c>
    </x:row>
    <x:row r="6">
      <x:c r="A6" s="11" t="str">
        <x:v>Reconciliation CHECK rows</x:v>
      </x:c>
      <x:c r="B6" s="11" t="n">
        <x:f>COUNTIF(Reconciliation!E2:E30,"CHECK")</x:f>
        <x:v>0</x:v>
      </x:c>
    </x:row>
    <x:row r="7">
      <x:c r="A7" s="11" t="str">
        <x:v>Submission status</x:v>
      </x:c>
      <x:c r="B7" s="11" t="str">
        <x:v>Not Submitted</x:v>
      </x:c>
    </x:row>
    <x:row r="8">
      <x:c r="A8" s="11" t="str">
        <x:v>Protected assessment</x:v>
      </x:c>
      <x:c r="B8" s="11" t="str">
        <x:v>Yes</x:v>
      </x:c>
    </x:row>
    <x:row r="9">
      <x:c r="A9" s="11" t="str">
        <x:v>Status</x:v>
      </x:c>
      <x:c r="B9" s="11" t="str">
        <x:v>Internal QA</x:v>
      </x:c>
    </x:row>
  </x:sheetData>
  <x:dataValidations count="1">
    <x:dataValidation type="list" sqref="B7">
      <x:formula1>"Not Submitted,Attempted,Developing,Pass,Repair"</x:formula1>
    </x:dataValidation>
  </x:dataValidations>
  <x:pageMargins left="0.7" right="0.7" top="0.75" bottom="0.75" header="0.3" footer="0.3"/>
</x:worksheet>
</file>