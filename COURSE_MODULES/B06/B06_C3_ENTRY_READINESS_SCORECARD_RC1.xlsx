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19ad764ce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3_Entry_Readiness" sheetId="1" r:id="R87c38e3170094a9a"/>
    <x:sheet xmlns:r="http://schemas.openxmlformats.org/officeDocument/2006/relationships" name="Dashboard" sheetId="2" r:id="R0f8c5dad56054a8b"/>
    <x:sheet xmlns:r="http://schemas.openxmlformats.org/officeDocument/2006/relationships" name="Score_Guide" sheetId="3" r:id="R6dc393fa006e4d6c"/>
    <x:sheet xmlns:r="http://schemas.openxmlformats.org/officeDocument/2006/relationships" name="C3_00_Preview" sheetId="4" r:id="Ref3776d20bcc4348"/>
    <x:sheet xmlns:r="http://schemas.openxmlformats.org/officeDocument/2006/relationships" name="Repair_Routing" sheetId="5" r:id="Ra6343b513073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CFBF1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60f5fdaa549c3" /><Relationship Type="http://schemas.openxmlformats.org/officeDocument/2006/relationships/theme" Target="/xl/theme/theme1.xml" Id="R80ec00e4af5c4721" /><Relationship Type="http://schemas.openxmlformats.org/officeDocument/2006/relationships/sharedStrings" Target="/xl/sharedStrings.xml" Id="Red95c35ac7764152" /><Relationship Type="http://schemas.openxmlformats.org/officeDocument/2006/relationships/worksheet" Target="/xl/worksheets/sheet1.xml" Id="R87c38e3170094a9a" /><Relationship Type="http://schemas.openxmlformats.org/officeDocument/2006/relationships/worksheet" Target="/xl/worksheets/sheet2.xml" Id="R0f8c5dad56054a8b" /><Relationship Type="http://schemas.openxmlformats.org/officeDocument/2006/relationships/worksheet" Target="/xl/worksheets/sheet3.xml" Id="R6dc393fa006e4d6c" /><Relationship Type="http://schemas.openxmlformats.org/officeDocument/2006/relationships/worksheet" Target="/xl/worksheets/sheet4.xml" Id="Ref3776d20bcc4348" /><Relationship Type="http://schemas.openxmlformats.org/officeDocument/2006/relationships/worksheet" Target="/xl/worksheets/sheet5.xml" Id="Ra6343b5130734b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22" hidden="0" customWidth="1"/>
    <x:col min="5" max="5" width="58" hidden="0" customWidth="1"/>
    <x:col min="6" max="6" width="38" hidden="0" customWidth="1"/>
    <x:col min="7" max="7" width="42" hidden="0" customWidth="1"/>
  </x:cols>
  <x:sheetData>
    <x:row r="1" ht="28" customHeight="1">
      <x:c r="A1" s="5" t="str">
        <x:v>Course 2B -&gt; Course 3 Entry Readiness</x:v>
      </x:c>
      <x:c r="B1" s="5"/>
      <x:c r="C1" s="5"/>
      <x:c r="D1" s="5"/>
      <x:c r="E1" s="5"/>
      <x:c r="F1" s="5"/>
      <x:c r="G1" s="5"/>
    </x:row>
    <x:row r="2" ht="24" customHeight="1">
      <x:c r="A2" s="13" t="str">
        <x:v>Final Gate PASS + all eight floors. Completion percentage never unlocks C3.</x:v>
      </x:c>
      <x:c r="B2" s="13"/>
      <x:c r="C2" s="13"/>
      <x:c r="D2" s="13"/>
      <x:c r="E2" s="13"/>
      <x:c r="F2" s="13"/>
      <x:c r="G2" s="13"/>
    </x:row>
    <x:row r="4">
      <x:c r="A4" s="21" t="str">
        <x:v>Readiness area</x:v>
      </x:c>
      <x:c r="B4" s="21" t="str">
        <x:v>Minimum</x:v>
      </x:c>
      <x:c r="C4" s="21" t="str">
        <x:v>Evidence score / Gate</x:v>
      </x:c>
      <x:c r="D4" s="21" t="str">
        <x:v>Status</x:v>
      </x:c>
      <x:c r="E4" s="21" t="str">
        <x:v>Evidence artifact</x:v>
      </x:c>
      <x:c r="F4" s="21" t="str">
        <x:v>Repair route</x:v>
      </x:c>
      <x:c r="G4" s="21" t="str">
        <x:v>Notes</x:v>
      </x:c>
    </x:row>
    <x:row r="5">
      <x:c r="A5" s="28" t="str">
        <x:v>Advanced SQL</x:v>
      </x:c>
      <x:c r="B5" s="28" t="n">
        <x:v>3</x:v>
      </x:c>
      <x:c r="C5" s="28" t="str"/>
      <x:c r="D5" s="28" t="str">
        <x:f>IF(C5="","NOT ASSESSED",IF(C5&gt;=B5,"AT FLOOR","REPAIR"))</x:f>
        <x:v>NOT ASSESSED</x:v>
      </x:c>
      <x:c r="E5" s="28" t="str">
        <x:v>B01 Engineering SQL Transition + B06 Gate</x:v>
      </x:c>
      <x:c r="F5" s="28" t="str">
        <x:v>B01 targeted SQL repair</x:v>
      </x:c>
      <x:c r="G5" s="28" t="str"/>
    </x:row>
    <x:row r="6">
      <x:c r="A6" s="28" t="str">
        <x:v>Python automation</x:v>
      </x:c>
      <x:c r="B6" s="28" t="n">
        <x:v>3</x:v>
      </x:c>
      <x:c r="C6" s="28" t="str"/>
      <x:c r="D6" s="28" t="str">
        <x:f>IF(C6="","NOT ASSESSED",IF(C6&gt;=B6,"AT FLOOR","REPAIR"))</x:f>
        <x:v>NOT ASSESSED</x:v>
      </x:c>
      <x:c r="E6" s="28" t="str">
        <x:v>B02 Python Pipeline Transition + B06 Gate</x:v>
      </x:c>
      <x:c r="F6" s="28" t="str">
        <x:v>B02 targeted pipeline repair</x:v>
      </x:c>
      <x:c r="G6" s="28" t="str"/>
    </x:row>
    <x:row r="7">
      <x:c r="A7" s="28" t="str">
        <x:v>Data modeling</x:v>
      </x:c>
      <x:c r="B7" s="28" t="n">
        <x:v>3</x:v>
      </x:c>
      <x:c r="C7" s="28" t="str"/>
      <x:c r="D7" s="28" t="str">
        <x:f>IF(C7="","NOT ASSESSED",IF(C7&gt;=B7,"AT FLOOR","REPAIR"))</x:f>
        <x:v>NOT ASSESSED</x:v>
      </x:c>
      <x:c r="E7" s="28" t="str">
        <x:v>B03 Engineering Data Modeling + B06 Gate</x:v>
      </x:c>
      <x:c r="F7" s="28" t="str">
        <x:v>B03 targeted modeling repair</x:v>
      </x:c>
      <x:c r="G7" s="28" t="str"/>
    </x:row>
    <x:row r="8">
      <x:c r="A8" s="28" t="str">
        <x:v>Warehousing</x:v>
      </x:c>
      <x:c r="B8" s="28" t="n">
        <x:v>3</x:v>
      </x:c>
      <x:c r="C8" s="28" t="str"/>
      <x:c r="D8" s="28" t="str">
        <x:f>IF(C8="","NOT ASSESSED",IF(C8&gt;=B8,"AT FLOOR","REPAIR"))</x:f>
        <x:v>NOT ASSESSED</x:v>
      </x:c>
      <x:c r="E8" s="28" t="str">
        <x:v>B04 Warehousing &amp; Data Quality + B06 Gate</x:v>
      </x:c>
      <x:c r="F8" s="28" t="str">
        <x:v>B04 SCD/layer repair</x:v>
      </x:c>
      <x:c r="G8" s="28" t="str"/>
    </x:row>
    <x:row r="9">
      <x:c r="A9" s="28" t="str">
        <x:v>Data quality</x:v>
      </x:c>
      <x:c r="B9" s="28" t="n">
        <x:v>3</x:v>
      </x:c>
      <x:c r="C9" s="28" t="str"/>
      <x:c r="D9" s="28" t="str">
        <x:f>IF(C9="","NOT ASSESSED",IF(C9&gt;=B9,"AT FLOOR","REPAIR"))</x:f>
        <x:v>NOT ASSESSED</x:v>
      </x:c>
      <x:c r="E9" s="28" t="str">
        <x:v>B04 Warehousing &amp; Data Quality + B06 Gate</x:v>
      </x:c>
      <x:c r="F9" s="28" t="str">
        <x:v>B04 quality/reconciliation repair</x:v>
      </x:c>
      <x:c r="G9" s="28" t="str"/>
    </x:row>
    <x:row r="10">
      <x:c r="A10" s="28" t="str">
        <x:v>Independent analysis</x:v>
      </x:c>
      <x:c r="B10" s="28" t="n">
        <x:v>3</x:v>
      </x:c>
      <x:c r="C10" s="28" t="str"/>
      <x:c r="D10" s="28" t="str">
        <x:f>IF(C10="","NOT ASSESSED",IF(C10&gt;=B10,"AT FLOOR","REPAIR"))</x:f>
        <x:v>NOT ASSESSED</x:v>
      </x:c>
      <x:c r="E10" s="28" t="str">
        <x:v>B06 fresh Final Gate + defense</x:v>
      </x:c>
      <x:c r="F10" s="28" t="str">
        <x:v>Fresh ambiguous transfer</x:v>
      </x:c>
      <x:c r="G10" s="28" t="str"/>
    </x:row>
    <x:row r="11">
      <x:c r="A11" s="28" t="str">
        <x:v>Cloud/Fabric</x:v>
      </x:c>
      <x:c r="B11" s="28" t="n">
        <x:v>2</x:v>
      </x:c>
      <x:c r="C11" s="28" t="str"/>
      <x:c r="D11" s="28" t="str">
        <x:f>IF(C11="","NOT ASSESSED",IF(C11&gt;=B11,"AT FLOOR","REPAIR"))</x:f>
        <x:v>NOT ASSESSED</x:v>
      </x:c>
      <x:c r="E11" s="28" t="str">
        <x:v>B05 Cloud Platform Essentials + B06 Gate</x:v>
      </x:c>
      <x:c r="F11" s="28" t="str">
        <x:v>B05 platform/access/monitoring repair</x:v>
      </x:c>
      <x:c r="G11" s="28" t="str"/>
    </x:row>
    <x:row r="12">
      <x:c r="A12" s="28" t="str">
        <x:v>Professional ownership</x:v>
      </x:c>
      <x:c r="B12" s="28" t="n">
        <x:v>2</x:v>
      </x:c>
      <x:c r="C12" s="28" t="str"/>
      <x:c r="D12" s="28" t="str">
        <x:f>IF(C12="","NOT ASSESSED",IF(C12&gt;=B12,"AT FLOOR","REPAIR"))</x:f>
        <x:v>NOT ASSESSED</x:v>
      </x:c>
      <x:c r="E12" s="28" t="str">
        <x:v>B06 failure/handoff evidence</x:v>
      </x:c>
      <x:c r="F12" s="28" t="str">
        <x:v>B06 ownership repair</x:v>
      </x:c>
      <x:c r="G12" s="28" t="str"/>
    </x:row>
    <x:row r="13">
      <x:c r="A13" s="28" t="str">
        <x:v>B06 Final Gate</x:v>
      </x:c>
      <x:c r="B13" s="28" t="str">
        <x:v>PASS</x:v>
      </x:c>
      <x:c r="C13" s="28" t="str"/>
      <x:c r="D13" s="28" t="str">
        <x:f>IF(C13="PASS","PASS",IF(C13="FAIL","FAIL","NOT ASSESSED"))</x:f>
        <x:v>NOT ASSESSED</x:v>
      </x:c>
      <x:c r="E13" s="28" t="str"/>
      <x:c r="F13" s="28" t="str">
        <x:v>Fresh Final Gate only if assigned</x:v>
      </x:c>
      <x:c r="G13" s="28" t="str"/>
    </x:row>
    <x:row r="14">
      <x:c r="A14" s="28" t="str">
        <x:v>Overall</x:v>
      </x:c>
      <x:c r="B14" s="28" t="str"/>
      <x:c r="C14" s="28" t="str"/>
      <x:c r="D14" s="28" t="str">
        <x:f>IF(AND(C5&gt;=B5,C6&gt;=B6,C7&gt;=B7,C8&gt;=B8,C9&gt;=B9,C10&gt;=B10,C11&gt;=B11,C12&gt;=B12,C13="PASS"),"C3 ENTRY READY","NOT READY")</x:f>
        <x:v>NOT READY</x:v>
      </x:c>
      <x:c r="E14" s="28" t="str"/>
      <x:c r="F14" s="28" t="str"/>
      <x:c r="G14" s="28" t="str"/>
    </x:row>
  </x:sheetData>
  <x:mergeCells>
    <x:mergeCell ref="A1:G1"/>
    <x:mergeCell ref="A2:G2"/>
  </x:mergeCells>
  <x:dataValidations count="2">
    <x:dataValidation type="list" sqref="C5:C12">
      <x:formula1>"0,1,2,3,4"</x:formula1>
    </x:dataValidation>
    <x:dataValidation type="list" sqref="C13">
      <x:formula1>"Not attempted,PASS,FAIL"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72" hidden="0" customWidth="1"/>
  </x:cols>
  <x:sheetData>
    <x:row r="1" ht="28" customHeight="1">
      <x:c r="A1" s="5" t="str">
        <x:v>C3 Entry Dashboard</x:v>
      </x:c>
      <x:c r="B1" s="5"/>
      <x:c r="C1" s="5"/>
    </x:row>
    <x:row r="2" ht="24" customHeight="1">
      <x:c r="A2" s="13" t="str">
        <x:v>Decision summary - evidence, not percentage.</x:v>
      </x:c>
      <x:c r="B2" s="13"/>
      <x:c r="C2" s="13"/>
    </x:row>
    <x:row r="4">
      <x:c r="A4" s="21" t="str">
        <x:v>Control</x:v>
      </x:c>
      <x:c r="B4" s="21" t="str">
        <x:v>Value</x:v>
      </x:c>
      <x:c r="C4" s="21" t="str">
        <x:v>Requirement</x:v>
      </x:c>
    </x:row>
    <x:row r="5">
      <x:c r="A5" s="28" t="str">
        <x:v>Areas at floor</x:v>
      </x:c>
      <x:c r="B5" s="28" t="n">
        <x:f>COUNTIF(C3_Entry_Readiness!D5:D12,"AT FLOOR")</x:f>
        <x:v>0</x:v>
      </x:c>
      <x:c r="C5" s="28" t="str">
        <x:v>Need 8</x:v>
      </x:c>
    </x:row>
    <x:row r="6">
      <x:c r="A6" s="28" t="str">
        <x:v>Areas needing repair</x:v>
      </x:c>
      <x:c r="B6" s="28" t="n">
        <x:f>COUNTIF(C3_Entry_Readiness!D5:D12,"REPAIR")</x:f>
        <x:v>0</x:v>
      </x:c>
      <x:c r="C6" s="28" t="str">
        <x:v>Need 0</x:v>
      </x:c>
    </x:row>
    <x:row r="7">
      <x:c r="A7" s="28" t="str">
        <x:v>Final Gate</x:v>
      </x:c>
      <x:c r="B7" s="28" t="str">
        <x:f>C3_Entry_Readiness!C13</x:f>
      </x:c>
      <x:c r="C7" s="28" t="str">
        <x:v>Need PASS</x:v>
      </x:c>
    </x:row>
    <x:row r="8">
      <x:c r="A8" s="28" t="str">
        <x:v>Overall status</x:v>
      </x:c>
      <x:c r="B8" s="28" t="str">
        <x:f>C3_Entry_Readiness!D14</x:f>
        <x:v>NOT READY</x:v>
      </x:c>
      <x:c r="C8" s="28" t="str">
        <x:v>Need C3 ENTRY READY</x:v>
      </x:c>
    </x:row>
    <x:row r="9">
      <x:c r="A9" s="28" t="str">
        <x:v>Rule</x:v>
      </x:c>
      <x:c r="B9" s="28" t="str">
        <x:v>Final Gate + all eight readiness floors</x:v>
      </x:c>
      <x:c r="C9" s="28" t="str">
        <x:v>No percentage shortcut</x:v>
      </x:c>
    </x:row>
    <x:row r="10">
      <x:c r="A10" s="28" t="str">
        <x:v>Important</x:v>
      </x:c>
      <x:c r="B10" s="28" t="str">
        <x:v>C3-00 topics are taught inside C3</x:v>
      </x:c>
      <x:c r="C10" s="28" t="str">
        <x:v>Not pre-entry requirements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78" hidden="0" customWidth="1"/>
    <x:col min="4" max="4" width="70" hidden="0" customWidth="1"/>
  </x:cols>
  <x:sheetData>
    <x:row r="1" ht="28" customHeight="1">
      <x:c r="A1" s="5" t="str">
        <x:v>Readiness Evidence Scale</x:v>
      </x:c>
      <x:c r="B1" s="5"/>
      <x:c r="C1" s="5"/>
      <x:c r="D1" s="5"/>
    </x:row>
    <x:row r="2" ht="24" customHeight="1">
      <x:c r="A2" s="13" t="str">
        <x:v>Same standard across all eight readiness areas.</x:v>
      </x:c>
      <x:c r="B2" s="13"/>
      <x:c r="C2" s="13"/>
      <x:c r="D2" s="13"/>
    </x:row>
    <x:row r="4">
      <x:c r="A4" s="21" t="str">
        <x:v>Score</x:v>
      </x:c>
      <x:c r="B4" s="21" t="str">
        <x:v>Meaning</x:v>
      </x:c>
      <x:c r="C4" s="21" t="str">
        <x:v>Evidence behavior</x:v>
      </x:c>
      <x:c r="D4" s="21" t="str">
        <x:v>Entry interpretation</x:v>
      </x:c>
    </x:row>
    <x:row r="5">
      <x:c r="A5" s="28" t="n">
        <x:v>0</x:v>
      </x:c>
      <x:c r="B5" s="28" t="str">
        <x:v>None</x:v>
      </x:c>
      <x:c r="C5" s="28" t="str">
        <x:v>No usable evidence.</x:v>
      </x:c>
      <x:c r="D5" s="28" t="str">
        <x:v>Repair before entry.</x:v>
      </x:c>
    </x:row>
    <x:row r="6">
      <x:c r="A6" s="28" t="n">
        <x:v>1</x:v>
      </x:c>
      <x:c r="B6" s="28" t="str">
        <x:v>Guided</x:v>
      </x:c>
      <x:c r="C6" s="28" t="str">
        <x:v>Completes only with step-by-step answer support.</x:v>
      </x:c>
      <x:c r="D6" s="28" t="str">
        <x:v>Not sufficient.</x:v>
      </x:c>
    </x:row>
    <x:row r="7">
      <x:c r="A7" s="28" t="n">
        <x:v>2</x:v>
      </x:c>
      <x:c r="B7" s="28" t="str">
        <x:v>Independent basic</x:v>
      </x:c>
      <x:c r="C7" s="28" t="str">
        <x:v>Small clean task independent; professional failure/validation depth incomplete.</x:v>
      </x:c>
      <x:c r="D7" s="28" t="str">
        <x:v>Meets only 2/4 floor where evidence is genuinely adequate.</x:v>
      </x:c>
    </x:row>
    <x:row r="8">
      <x:c r="A8" s="28" t="n">
        <x:v>3</x:v>
      </x:c>
      <x:c r="B8" s="28" t="str">
        <x:v>Independent professional</x:v>
      </x:c>
      <x:c r="C8" s="28" t="str">
        <x:v>Completes, validates, explains and recovers on changed realistic task.</x:v>
      </x:c>
      <x:c r="D8" s="28" t="str">
        <x:v>Required for six core technical/analysis areas.</x:v>
      </x:c>
    </x:row>
    <x:row r="9">
      <x:c r="A9" s="28" t="n">
        <x:v>4</x:v>
      </x:c>
      <x:c r="B9" s="28" t="str">
        <x:v>Can review/mentor</x:v>
      </x:c>
      <x:c r="C9" s="28" t="str">
        <x:v>Can diagnose another person’s work and defend trade-offs.</x:v>
      </x:c>
      <x:c r="D9" s="28" t="str">
        <x:v>Above entry requirement.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54" hidden="0" customWidth="1"/>
    <x:col min="4" max="4" width="32" hidden="0" customWidth="1"/>
  </x:cols>
  <x:sheetData>
    <x:row r="1" ht="28" customHeight="1">
      <x:c r="A1" s="5" t="str">
        <x:v>What Course 3 Teaches Next</x:v>
      </x:c>
      <x:c r="B1" s="5"/>
      <x:c r="C1" s="5"/>
      <x:c r="D1" s="5"/>
    </x:row>
    <x:row r="2" ht="24" customHeight="1">
      <x:c r="A2" s="13" t="str">
        <x:v>These 12 topics are NOT hidden Bridge prerequisites.</x:v>
      </x:c>
      <x:c r="B2" s="13"/>
      <x:c r="C2" s="13"/>
      <x:c r="D2" s="13"/>
    </x:row>
    <x:row r="4">
      <x:c r="A4" s="21" t="str">
        <x:v>C3 lesson</x:v>
      </x:c>
      <x:c r="B4" s="21" t="str">
        <x:v>Incoming topic</x:v>
      </x:c>
      <x:c r="C4" s="21" t="str">
        <x:v>Bridge evidence that helps</x:v>
      </x:c>
      <x:c r="D4" s="21" t="str">
        <x:v>Pre-entry requirement?</x:v>
      </x:c>
    </x:row>
    <x:row r="5">
      <x:c r="A5" s="28" t="str">
        <x:v>C3-00-L01</x:v>
      </x:c>
      <x:c r="B5" s="28" t="str">
        <x:v>Role shift: analyst scripts -&gt; engineering systems</x:v>
      </x:c>
      <x:c r="C5" s="28" t="str">
        <x:v>B02/B04/B06 mindset</x:v>
      </x:c>
      <x:c r="D5" s="28" t="str">
        <x:v>No - taught in C3</x:v>
      </x:c>
    </x:row>
    <x:row r="6">
      <x:c r="A6" s="28" t="str">
        <x:v>C3-00-L02</x:v>
      </x:c>
      <x:c r="B6" s="28" t="str">
        <x:v>Linux/WSL2 shell, paths and filesystem</x:v>
      </x:c>
      <x:c r="C6" s="28" t="str">
        <x:v>B02 path/file reasoning</x:v>
      </x:c>
      <x:c r="D6" s="28" t="str">
        <x:v>No - taught in C3</x:v>
      </x:c>
    </x:row>
    <x:row r="7">
      <x:c r="A7" s="28" t="str">
        <x:v>C3-00-L03</x:v>
      </x:c>
      <x:c r="B7" s="28" t="str">
        <x:v>Shell pipes, redirection and process basics</x:v>
      </x:c>
      <x:c r="C7" s="28" t="str">
        <x:v>Automation mindset</x:v>
      </x:c>
      <x:c r="D7" s="28" t="str">
        <x:v>No - taught in C3</x:v>
      </x:c>
    </x:row>
    <x:row r="8">
      <x:c r="A8" s="28" t="str">
        <x:v>C3-00-L04</x:v>
      </x:c>
      <x:c r="B8" s="28" t="str">
        <x:v>Git branches, commits and pull-request workflow</x:v>
      </x:c>
      <x:c r="C8" s="28" t="str">
        <x:v>Professional handoff</x:v>
      </x:c>
      <x:c r="D8" s="28" t="str">
        <x:v>No - taught in C3</x:v>
      </x:c>
    </x:row>
    <x:row r="9">
      <x:c r="A9" s="28" t="str">
        <x:v>C3-00-L05</x:v>
      </x:c>
      <x:c r="B9" s="28" t="str">
        <x:v>Python virtual environments and dependency pinning</x:v>
      </x:c>
      <x:c r="C9" s="28" t="str">
        <x:v>B02 reproducibility</x:v>
      </x:c>
      <x:c r="D9" s="28" t="str">
        <x:v>No - taught in C3</x:v>
      </x:c>
    </x:row>
    <x:row r="10">
      <x:c r="A10" s="28" t="str">
        <x:v>C3-00-L06</x:v>
      </x:c>
      <x:c r="B10" s="28" t="str">
        <x:v>Python modules, packages and project structure</x:v>
      </x:c>
      <x:c r="C10" s="28" t="str">
        <x:v>B02 reusable-code mindset</x:v>
      </x:c>
      <x:c r="D10" s="28" t="str">
        <x:v>No - taught in C3</x:v>
      </x:c>
    </x:row>
    <x:row r="11">
      <x:c r="A11" s="28" t="str">
        <x:v>C3-00-L07</x:v>
      </x:c>
      <x:c r="B11" s="28" t="str">
        <x:v>Configuration, environment variables and secret boundaries</x:v>
      </x:c>
      <x:c r="C11" s="28" t="str">
        <x:v>B05 identity boundary</x:v>
      </x:c>
      <x:c r="D11" s="28" t="str">
        <x:v>No - taught in C3</x:v>
      </x:c>
    </x:row>
    <x:row r="12">
      <x:c r="A12" s="28" t="str">
        <x:v>C3-00-L08</x:v>
      </x:c>
      <x:c r="B12" s="28" t="str">
        <x:v>Structured logging and exception handling</x:v>
      </x:c>
      <x:c r="C12" s="28" t="str">
        <x:v>B02/B04 failure evidence</x:v>
      </x:c>
      <x:c r="D12" s="28" t="str">
        <x:v>No - taught in C3</x:v>
      </x:c>
    </x:row>
    <x:row r="13">
      <x:c r="A13" s="28" t="str">
        <x:v>C3-00-L09</x:v>
      </x:c>
      <x:c r="B13" s="28" t="str">
        <x:v>Unit tests and integration-test boundaries</x:v>
      </x:c>
      <x:c r="C13" s="28" t="str">
        <x:v>B04 quality mindset</x:v>
      </x:c>
      <x:c r="D13" s="28" t="str">
        <x:v>No - taught in C3</x:v>
      </x:c>
    </x:row>
    <x:row r="14">
      <x:c r="A14" s="28" t="str">
        <x:v>C3-00-L10</x:v>
      </x:c>
      <x:c r="B14" s="28" t="str">
        <x:v>CLI design and reusable data utilities</x:v>
      </x:c>
      <x:c r="C14" s="28" t="str">
        <x:v>B02 automation</x:v>
      </x:c>
      <x:c r="D14" s="28" t="str">
        <x:v>No - taught in C3</x:v>
      </x:c>
    </x:row>
    <x:row r="15">
      <x:c r="A15" s="28" t="str">
        <x:v>C3-00-L11</x:v>
      </x:c>
      <x:c r="B15" s="28" t="str">
        <x:v>Docker and container mental model</x:v>
      </x:c>
      <x:c r="C15" s="28" t="str">
        <x:v>No Bridge mastery assumed</x:v>
      </x:c>
      <x:c r="D15" s="28" t="str">
        <x:v>No - taught in C3</x:v>
      </x:c>
    </x:row>
    <x:row r="16">
      <x:c r="A16" s="28" t="str">
        <x:v>C3-00-L12</x:v>
      </x:c>
      <x:c r="B16" s="28" t="str">
        <x:v>Idempotence, reproducibility and runbooks</x:v>
      </x:c>
      <x:c r="C16" s="28" t="str">
        <x:v>B02/B04 safe rerun/recovery</x:v>
      </x:c>
      <x:c r="D16" s="28" t="str">
        <x:v>No - taught in C3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68" hidden="0" customWidth="1"/>
    <x:col min="4" max="4" width="56" hidden="0" customWidth="1"/>
  </x:cols>
  <x:sheetData>
    <x:row r="1" ht="28" customHeight="1">
      <x:c r="A1" s="5" t="str">
        <x:v>Targeted Repair Routing</x:v>
      </x:c>
      <x:c r="B1" s="5"/>
      <x:c r="C1" s="5"/>
      <x:c r="D1" s="5"/>
    </x:row>
    <x:row r="2" ht="24" customHeight="1">
      <x:c r="A2" s="13" t="str">
        <x:v>One weak area -&gt; repair that area. Do not restart Course 2B.</x:v>
      </x:c>
      <x:c r="B2" s="13"/>
      <x:c r="C2" s="13"/>
      <x:c r="D2" s="13"/>
    </x:row>
    <x:row r="4">
      <x:c r="A4" s="21" t="str">
        <x:v>Weak area</x:v>
      </x:c>
      <x:c r="B4" s="21" t="str">
        <x:v>Return to</x:v>
      </x:c>
      <x:c r="C4" s="21" t="str">
        <x:v>Changed repair evidence</x:v>
      </x:c>
      <x:c r="D4" s="21" t="str">
        <x:v>Re-entry rule</x:v>
      </x:c>
    </x:row>
    <x:row r="5">
      <x:c r="A5" s="28" t="str">
        <x:v>Advanced SQL</x:v>
      </x:c>
      <x:c r="B5" s="28" t="str">
        <x:v>B01</x:v>
      </x:c>
      <x:c r="C5" s="28" t="str">
        <x:v>Fresh SQL grain/window/reconciliation task</x:v>
      </x:c>
      <x:c r="D5" s="28" t="str">
        <x:v>Re-score only after changed evidence</x:v>
      </x:c>
    </x:row>
    <x:row r="6">
      <x:c r="A6" s="28" t="str">
        <x:v>Python automation</x:v>
      </x:c>
      <x:c r="B6" s="28" t="str">
        <x:v>B02</x:v>
      </x:c>
      <x:c r="C6" s="28" t="str">
        <x:v>Fresh multi-file validation/recovery task</x:v>
      </x:c>
      <x:c r="D6" s="28" t="str">
        <x:v>Re-score after clean rerun evidence</x:v>
      </x:c>
    </x:row>
    <x:row r="7">
      <x:c r="A7" s="28" t="str">
        <x:v>Data modeling</x:v>
      </x:c>
      <x:c r="B7" s="28" t="str">
        <x:v>B03</x:v>
      </x:c>
      <x:c r="C7" s="28" t="str">
        <x:v>Fresh grain/key/history model contract</x:v>
      </x:c>
      <x:c r="D7" s="28" t="str">
        <x:v>Re-score after reconciliation</x:v>
      </x:c>
    </x:row>
    <x:row r="8">
      <x:c r="A8" s="28" t="str">
        <x:v>Warehousing</x:v>
      </x:c>
      <x:c r="B8" s="28" t="str">
        <x:v>B04</x:v>
      </x:c>
      <x:c r="C8" s="28" t="str">
        <x:v>Fresh layers/SCD/replay design</x:v>
      </x:c>
      <x:c r="D8" s="28" t="str">
        <x:v>Re-score after changed case</x:v>
      </x:c>
    </x:row>
    <x:row r="9">
      <x:c r="A9" s="28" t="str">
        <x:v>Data quality</x:v>
      </x:c>
      <x:c r="B9" s="28" t="str">
        <x:v>B04</x:v>
      </x:c>
      <x:c r="C9" s="28" t="str">
        <x:v>Fresh BLOCK/WARN + reconciliation case</x:v>
      </x:c>
      <x:c r="D9" s="28" t="str">
        <x:v>Clear critical silent-loss weakness</x:v>
      </x:c>
    </x:row>
    <x:row r="10">
      <x:c r="A10" s="28" t="str">
        <x:v>Independent analysis</x:v>
      </x:c>
      <x:c r="B10" s="28" t="str">
        <x:v>B06</x:v>
      </x:c>
      <x:c r="C10" s="28" t="str">
        <x:v>Fresh ambiguous integrated transfer</x:v>
      </x:c>
      <x:c r="D10" s="28" t="str">
        <x:v>No answer copying</x:v>
      </x:c>
    </x:row>
    <x:row r="11">
      <x:c r="A11" s="28" t="str">
        <x:v>Cloud/Fabric</x:v>
      </x:c>
      <x:c r="B11" s="28" t="str">
        <x:v>B05</x:v>
      </x:c>
      <x:c r="C11" s="28" t="str">
        <x:v>Fresh platform/access/freshness case</x:v>
      </x:c>
      <x:c r="D11" s="28" t="str">
        <x:v>Need &gt;=2</x:v>
      </x:c>
    </x:row>
    <x:row r="12">
      <x:c r="A12" s="28" t="str">
        <x:v>Professional ownership</x:v>
      </x:c>
      <x:c r="B12" s="28" t="str">
        <x:v>B06</x:v>
      </x:c>
      <x:c r="C12" s="28" t="str">
        <x:v>Fresh incident/handoff/limitation defense</x:v>
      </x:c>
      <x:c r="D12" s="28" t="str">
        <x:v>Need &gt;=2</x:v>
      </x:c>
    </x:row>
  </x:sheetData>
  <x:mergeCells>
    <x:mergeCell ref="A1:D1"/>
    <x:mergeCell ref="A2:D2"/>
  </x:mergeCells>
  <x:pageMargins left="0.7" right="0.7" top="0.75" bottom="0.75" header="0.3" footer="0.3"/>
</x:worksheet>
</file>