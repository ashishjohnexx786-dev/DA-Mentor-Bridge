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e8be83bdf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b0b6dbf485484781"/>
    <x:sheet xmlns:r="http://schemas.openxmlformats.org/officeDocument/2006/relationships" name="Evidence_Scorecard" sheetId="2" r:id="R50123ef5b1be4ec3"/>
    <x:sheet xmlns:r="http://schemas.openxmlformats.org/officeDocument/2006/relationships" name="Source_Contracts" sheetId="3" r:id="Rc706a88c6fda4559"/>
    <x:sheet xmlns:r="http://schemas.openxmlformats.org/officeDocument/2006/relationships" name="SQL_Evidence" sheetId="4" r:id="R4a4cd5afc0c24bc1"/>
    <x:sheet xmlns:r="http://schemas.openxmlformats.org/officeDocument/2006/relationships" name="Python_Pipeline" sheetId="5" r:id="R315cbbfe724e4bb7"/>
    <x:sheet xmlns:r="http://schemas.openxmlformats.org/officeDocument/2006/relationships" name="Model_Design" sheetId="6" r:id="R0c3a16572523470d"/>
    <x:sheet xmlns:r="http://schemas.openxmlformats.org/officeDocument/2006/relationships" name="Relationships_Keys" sheetId="7" r:id="R4677481469014e49"/>
    <x:sheet xmlns:r="http://schemas.openxmlformats.org/officeDocument/2006/relationships" name="SCD_History" sheetId="8" r:id="Rd6060a9cdfc84ecb"/>
    <x:sheet xmlns:r="http://schemas.openxmlformats.org/officeDocument/2006/relationships" name="Warehouse_Layers" sheetId="9" r:id="Rae972f71ea1646d2"/>
    <x:sheet xmlns:r="http://schemas.openxmlformats.org/officeDocument/2006/relationships" name="Data_Quality" sheetId="10" r:id="R254c166e0ea24f3e"/>
    <x:sheet xmlns:r="http://schemas.openxmlformats.org/officeDocument/2006/relationships" name="Cloud_Access" sheetId="11" r:id="Rb0447aabb33b4a55"/>
    <x:sheet xmlns:r="http://schemas.openxmlformats.org/officeDocument/2006/relationships" name="Refresh_Monitoring" sheetId="12" r:id="R6645e08237b74e42"/>
    <x:sheet xmlns:r="http://schemas.openxmlformats.org/officeDocument/2006/relationships" name="Reconciliation" sheetId="13" r:id="R8bddba0a530646fb"/>
    <x:sheet xmlns:r="http://schemas.openxmlformats.org/officeDocument/2006/relationships" name="Failure_Recovery" sheetId="14" r:id="Re7297d92f1e24634"/>
    <x:sheet xmlns:r="http://schemas.openxmlformats.org/officeDocument/2006/relationships" name="Handoff_Defense" sheetId="15" r:id="Rbf00eb989f314900"/>
    <x:sheet xmlns:r="http://schemas.openxmlformats.org/officeDocument/2006/relationships" name="C3_Entry_Check" sheetId="16" r:id="Rcfee40f5898e4a4c"/>
    <x:sheet xmlns:r="http://schemas.openxmlformats.org/officeDocument/2006/relationships" name="Submission" sheetId="17" r:id="R3387073d92394511"/>
    <x:sheet xmlns:r="http://schemas.openxmlformats.org/officeDocument/2006/relationships" name="QA_Summary" sheetId="18" r:id="Rc9976ab8f611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ed512ed8f4e3a" /><Relationship Type="http://schemas.openxmlformats.org/officeDocument/2006/relationships/theme" Target="/xl/theme/theme1.xml" Id="Ra77f5bcb2754452b" /><Relationship Type="http://schemas.openxmlformats.org/officeDocument/2006/relationships/sharedStrings" Target="/xl/sharedStrings.xml" Id="Rf37e8bdddd5c41e5" /><Relationship Type="http://schemas.openxmlformats.org/officeDocument/2006/relationships/worksheet" Target="/xl/worksheets/sheet1.xml" Id="Rb0b6dbf485484781" /><Relationship Type="http://schemas.openxmlformats.org/officeDocument/2006/relationships/worksheet" Target="/xl/worksheets/sheet2.xml" Id="R50123ef5b1be4ec3" /><Relationship Type="http://schemas.openxmlformats.org/officeDocument/2006/relationships/worksheet" Target="/xl/worksheets/sheet3.xml" Id="Rc706a88c6fda4559" /><Relationship Type="http://schemas.openxmlformats.org/officeDocument/2006/relationships/worksheet" Target="/xl/worksheets/sheet4.xml" Id="R4a4cd5afc0c24bc1" /><Relationship Type="http://schemas.openxmlformats.org/officeDocument/2006/relationships/worksheet" Target="/xl/worksheets/sheet5.xml" Id="R315cbbfe724e4bb7" /><Relationship Type="http://schemas.openxmlformats.org/officeDocument/2006/relationships/worksheet" Target="/xl/worksheets/sheet6.xml" Id="R0c3a16572523470d" /><Relationship Type="http://schemas.openxmlformats.org/officeDocument/2006/relationships/worksheet" Target="/xl/worksheets/sheet7.xml" Id="R4677481469014e49" /><Relationship Type="http://schemas.openxmlformats.org/officeDocument/2006/relationships/worksheet" Target="/xl/worksheets/sheet8.xml" Id="Rd6060a9cdfc84ecb" /><Relationship Type="http://schemas.openxmlformats.org/officeDocument/2006/relationships/worksheet" Target="/xl/worksheets/sheet9.xml" Id="Rae972f71ea1646d2" /><Relationship Type="http://schemas.openxmlformats.org/officeDocument/2006/relationships/worksheet" Target="/xl/worksheets/sheet10.xml" Id="R254c166e0ea24f3e" /><Relationship Type="http://schemas.openxmlformats.org/officeDocument/2006/relationships/worksheet" Target="/xl/worksheets/sheet11.xml" Id="Rb0447aabb33b4a55" /><Relationship Type="http://schemas.openxmlformats.org/officeDocument/2006/relationships/worksheet" Target="/xl/worksheets/sheet12.xml" Id="R6645e08237b74e42" /><Relationship Type="http://schemas.openxmlformats.org/officeDocument/2006/relationships/worksheet" Target="/xl/worksheets/sheet13.xml" Id="R8bddba0a530646fb" /><Relationship Type="http://schemas.openxmlformats.org/officeDocument/2006/relationships/worksheet" Target="/xl/worksheets/sheet14.xml" Id="Re7297d92f1e24634" /><Relationship Type="http://schemas.openxmlformats.org/officeDocument/2006/relationships/worksheet" Target="/xl/worksheets/sheet15.xml" Id="Rbf00eb989f314900" /><Relationship Type="http://schemas.openxmlformats.org/officeDocument/2006/relationships/worksheet" Target="/xl/worksheets/sheet16.xml" Id="Rcfee40f5898e4a4c" /><Relationship Type="http://schemas.openxmlformats.org/officeDocument/2006/relationships/worksheet" Target="/xl/worksheets/sheet17.xml" Id="R3387073d92394511" /><Relationship Type="http://schemas.openxmlformats.org/officeDocument/2006/relationships/worksheet" Target="/xl/worksheets/sheet18.xml" Id="Rc9976ab8f61146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4" hidden="0" customWidth="1"/>
  </x:cols>
  <x:sheetData>
    <x:row r="1">
      <x:c r="A1" s="10" t="str">
        <x:v>B06 Final Gate A - Retail Orders</x:v>
      </x:c>
      <x:c r="B1" s="10" t="str">
        <x:v>INTERNAL QA</x:v>
      </x:c>
    </x:row>
    <x:row r="2">
      <x:c r="A2" s="11" t="str">
        <x:v>Purpose</x:v>
      </x:c>
      <x:c r="B2" s="11" t="str">
        <x:v>Integrate Advanced SQL + Python automation + data modeling + warehousing/data quality + cloud/platform collaboration.</x:v>
      </x:c>
    </x:row>
    <x:row r="3">
      <x:c r="A3" s="11" t="str">
        <x:v>Protected?</x:v>
      </x:c>
      <x:c r="B3" s="11" t="str">
        <x:v>YES - lesson/review/tutorial/AI solving closed during Gate.</x:v>
      </x:c>
    </x:row>
    <x:row r="4">
      <x:c r="A4" s="11" t="str">
        <x:v>Evidence rule</x:v>
      </x:c>
      <x:c r="B4" s="11" t="str">
        <x:v>Working code alone is insufficient: save contracts, validation, recovery and explanation.</x:v>
      </x:c>
    </x:row>
    <x:row r="5">
      <x:c r="A5" s="11" t="str">
        <x:v>SQL</x:v>
      </x:c>
      <x:c r="B5" s="11" t="str">
        <x:v>Grain-safe joins, staged logic, windows, quality investigation, validation, maintainability.</x:v>
      </x:c>
    </x:row>
    <x:row r="6">
      <x:c r="A6" s="11" t="str">
        <x:v>Python</x:v>
      </x:c>
      <x:c r="B6" s="11" t="str">
        <x:v>Reusable ingestion/transform/validate/publish workflow, logging, safe rerun, manifest.</x:v>
      </x:c>
    </x:row>
    <x:row r="7">
      <x:c r="A7" s="11" t="str">
        <x:v>Model</x:v>
      </x:c>
      <x:c r="B7" s="11" t="str">
        <x:v>Fact/dimension/bridge grain, cardinality, keys and date roles.</x:v>
      </x:c>
    </x:row>
    <x:row r="8">
      <x:c r="A8" s="11" t="str">
        <x:v>Warehouse</x:v>
      </x:c>
      <x:c r="B8" s="11" t="str">
        <x:v>Surrogate/business keys, SCD, layers, ETL/ELT, reconciliation.</x:v>
      </x:c>
    </x:row>
    <x:row r="9">
      <x:c r="A9" s="11" t="str">
        <x:v>Quality</x:v>
      </x:c>
      <x:c r="B9" s="11" t="str">
        <x:v>BLOCK/WARN rules plus independent source-to-output controls.</x:v>
      </x:c>
    </x:row>
    <x:row r="10">
      <x:c r="A10" s="11" t="str">
        <x:v>Cloud</x:v>
      </x:c>
      <x:c r="B10" s="11" t="str">
        <x:v>Source/network, storage/compute/identity, access, refresh, monitoring, governance.</x:v>
      </x:c>
    </x:row>
    <x:row r="11">
      <x:c r="A11" s="11" t="str">
        <x:v>Ownership</x:v>
      </x:c>
      <x:c r="B11" s="11" t="str">
        <x:v>Failure/recovery, limitations, owner/next action, analyst-to-DE handoff.</x:v>
      </x:c>
    </x:row>
    <x:row r="12">
      <x:c r="A12" s="11" t="str">
        <x:v>C3 gate</x:v>
      </x:c>
      <x:c r="B12" s="11" t="str">
        <x:v>Course 3 entry requires the final Gate plus readiness-area floors; future C3 skills are not pre-required.</x:v>
      </x:c>
    </x:row>
    <x:row r="13">
      <x:c r="A13" s="11" t="str">
        <x:v>AI rule</x:v>
      </x:c>
      <x:c r="B13" s="11" t="str">
        <x:v>Allowed during ordinary practice if outputs are read/run/validated; closed during protected Gates.</x:v>
      </x:c>
    </x:row>
    <x:row r="14">
      <x:c r="A14" s="11" t="str">
        <x:v>Data privacy</x:v>
      </x:c>
      <x:c r="B14" s="11" t="str">
        <x:v>Use only synthetic/public/sanitized data.</x:v>
      </x:c>
    </x:row>
    <x:row r="15">
      <x:c r="A15" s="11" t="str">
        <x:v>Status</x:v>
      </x:c>
      <x:c r="B15" s="11" t="str">
        <x:v>Internal QA</x:v>
      </x:c>
    </x:row>
    <x:row r="16">
      <x:c r="A16" s="11" t="str">
        <x:v>Generated</x:v>
      </x:c>
      <x:c r="B16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0" hidden="0" customWidth="1"/>
    <x:col min="4" max="4" width="20" hidden="0" customWidth="1"/>
    <x:col min="5" max="5" width="14" hidden="0" customWidth="1"/>
    <x:col min="6" max="6" width="18" hidden="0" customWidth="1"/>
    <x:col min="7" max="7" width="46" hidden="0" customWidth="1"/>
  </x:cols>
  <x:sheetData>
    <x:row r="1">
      <x:c r="A1" s="10" t="str">
        <x:v>Competency</x:v>
      </x:c>
      <x:c r="B1" s="10" t="str">
        <x:v>B01-B05 source</x:v>
      </x:c>
      <x:c r="C1" s="10" t="str">
        <x:v>Required evidence</x:v>
      </x:c>
      <x:c r="D1" s="10" t="str">
        <x:v>Self/Gate score 0-4</x:v>
      </x:c>
      <x:c r="E1" s="10" t="str">
        <x:v>Critical?</x:v>
      </x:c>
      <x:c r="F1" s="10" t="str">
        <x:v>Status</x:v>
      </x:c>
      <x:c r="G1" s="10" t="str">
        <x:v>Evidence path / note</x:v>
      </x:c>
    </x:row>
    <x:row r="2">
      <x:c r="A2" s="11" t="str">
        <x:v>Advanced SQL</x:v>
      </x:c>
      <x:c r="B2" s="11" t="str">
        <x:v>B01</x:v>
      </x:c>
      <x:c r="C2" s="11" t="str">
        <x:v>Grain-safe joins, CTE/window/time logic, quality investigation, independent validation, maintainable query</x:v>
      </x:c>
      <x:c r="D2" s="11" t="str"/>
      <x:c r="E2" s="11" t="str">
        <x:v>Yes</x:v>
      </x:c>
      <x:c r="F2" s="11" t="str">
        <x:f>IF(D2="","",IF(D2&gt;=3,"PASS","REPAIR"))</x:f>
      </x:c>
      <x:c r="G2" s="11" t="str"/>
    </x:row>
    <x:row r="3">
      <x:c r="A3" s="11" t="str">
        <x:v>Python automation</x:v>
      </x:c>
      <x:c r="B3" s="11" t="str">
        <x:v>B02</x:v>
      </x:c>
      <x:c r="C3" s="11" t="str">
        <x:v>Reusable/logged/validated/reproducible workflow; explicit failure behavior and safe rerun</x:v>
      </x:c>
      <x:c r="D3" s="11" t="str"/>
      <x:c r="E3" s="11" t="str">
        <x:v>Yes</x:v>
      </x:c>
      <x:c r="F3" s="11" t="str">
        <x:f>IF(D3="","",IF(D3&gt;=3,"PASS","REPAIR"))</x:f>
      </x:c>
      <x:c r="G3" s="11" t="str"/>
    </x:row>
    <x:row r="4">
      <x:c r="A4" s="11" t="str">
        <x:v>Data modeling</x:v>
      </x:c>
      <x:c r="B4" s="11" t="str">
        <x:v>B03</x:v>
      </x:c>
      <x:c r="C4" s="11" t="str">
        <x:v>Facts/dimensions/relationships/keys/grain/many-to-many/date-role reasoning</x:v>
      </x:c>
      <x:c r="D4" s="11" t="str"/>
      <x:c r="E4" s="11" t="str">
        <x:v>Yes</x:v>
      </x:c>
      <x:c r="F4" s="11" t="str">
        <x:f>IF(D4="","",IF(D4&gt;=3,"PASS","REPAIR"))</x:f>
      </x:c>
      <x:c r="G4" s="11" t="str"/>
    </x:row>
    <x:row r="5">
      <x:c r="A5" s="11" t="str">
        <x:v>Warehousing</x:v>
      </x:c>
      <x:c r="B5" s="11" t="str">
        <x:v>B04</x:v>
      </x:c>
      <x:c r="C5" s="11" t="str">
        <x:v>Surrogate/business keys, SCD, ETL/ELT, layers, architecture reasoning</x:v>
      </x:c>
      <x:c r="D5" s="11" t="str"/>
      <x:c r="E5" s="11" t="str">
        <x:v>Yes</x:v>
      </x:c>
      <x:c r="F5" s="11" t="str">
        <x:f>IF(D5="","",IF(D5&gt;=3,"PASS","REPAIR"))</x:f>
      </x:c>
      <x:c r="G5" s="11" t="str"/>
    </x:row>
    <x:row r="6">
      <x:c r="A6" s="11" t="str">
        <x:v>Data quality</x:v>
      </x:c>
      <x:c r="B6" s="11" t="str">
        <x:v>B04</x:v>
      </x:c>
      <x:c r="C6" s="11" t="str">
        <x:v>Blocking/warning controls + source-to-output reconciliation</x:v>
      </x:c>
      <x:c r="D6" s="11" t="str"/>
      <x:c r="E6" s="11" t="str">
        <x:v>Yes</x:v>
      </x:c>
      <x:c r="F6" s="11" t="str">
        <x:f>IF(D6="","",IF(D6&gt;=3,"PASS","REPAIR"))</x:f>
      </x:c>
      <x:c r="G6" s="11" t="str"/>
    </x:row>
    <x:row r="7">
      <x:c r="A7" s="11" t="str">
        <x:v>Cloud/Fabric</x:v>
      </x:c>
      <x:c r="B7" s="11" t="str">
        <x:v>B05</x:v>
      </x:c>
      <x:c r="C7" s="11" t="str">
        <x:v>Platform layers, connection/gateway, security/governance/monitoring reasoning</x:v>
      </x:c>
      <x:c r="D7" s="11" t="str"/>
      <x:c r="E7" s="11" t="str">
        <x:v>No</x:v>
      </x:c>
      <x:c r="F7" s="11" t="str">
        <x:f>IF(D7="","",IF(D7&gt;=2,"PASS","REPAIR"))</x:f>
      </x:c>
      <x:c r="G7" s="11" t="str"/>
    </x:row>
    <x:row r="8">
      <x:c r="A8" s="11" t="str">
        <x:v>Independent analysis</x:v>
      </x:c>
      <x:c r="B8" s="11" t="str">
        <x:v>Across B01-B05</x:v>
      </x:c>
      <x:c r="C8" s="11" t="str">
        <x:v>Scopes ambiguous work and defends choices without copying a solution</x:v>
      </x:c>
      <x:c r="D8" s="11" t="str"/>
      <x:c r="E8" s="11" t="str">
        <x:v>Yes</x:v>
      </x:c>
      <x:c r="F8" s="11" t="str">
        <x:f>IF(D8="","",IF(D8&gt;=3,"PASS","REPAIR"))</x:f>
      </x:c>
      <x:c r="G8" s="11" t="str"/>
    </x:row>
    <x:row r="9">
      <x:c r="A9" s="11" t="str">
        <x:v>Professional ownership</x:v>
      </x:c>
      <x:c r="B9" s="11" t="str">
        <x:v>Across B02/B04/B05</x:v>
      </x:c>
      <x:c r="C9" s="11" t="str">
        <x:v>Documents handoff, failure, limitation, owner and next action</x:v>
      </x:c>
      <x:c r="D9" s="11" t="str"/>
      <x:c r="E9" s="11" t="str">
        <x:v>No</x:v>
      </x:c>
      <x:c r="F9" s="11" t="str">
        <x:f>IF(D9="","",IF(D9&gt;=2,"PASS","REPAIR"))</x:f>
      </x:c>
      <x:c r="G9" s="11" t="str"/>
    </x:row>
  </x:sheetData>
  <x:dataValidations count="1">
    <x:dataValidation type="list" sqref="D2:D9">
      <x:formula1>"0,1,2,3,4"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5" hidden="0" customWidth="1"/>
    <x:col min="3" max="3" width="28" hidden="0" customWidth="1"/>
    <x:col min="4" max="4" width="38" hidden="0" customWidth="1"/>
    <x:col min="5" max="5" width="20" hidden="0" customWidth="1"/>
    <x:col min="6" max="6" width="20" hidden="0" customWidth="1"/>
    <x:col min="7" max="7" width="46" hidden="0" customWidth="1"/>
    <x:col min="8" max="8" width="28" hidden="0" customWidth="1"/>
  </x:cols>
  <x:sheetData>
    <x:row r="1">
      <x:c r="A1" s="10" t="str">
        <x:v>Source</x:v>
      </x:c>
      <x:c r="B1" s="10" t="str">
        <x:v>Raw grain</x:v>
      </x:c>
      <x:c r="C1" s="10" t="str">
        <x:v>Business/natural key</x:v>
      </x:c>
      <x:c r="D1" s="10" t="str">
        <x:v>Location / technology</x:v>
      </x:c>
      <x:c r="E1" s="10" t="str">
        <x:v>Sensitivity</x:v>
      </x:c>
      <x:c r="F1" s="10" t="str">
        <x:v>Freshness</x:v>
      </x:c>
      <x:c r="G1" s="10" t="str">
        <x:v>Risk / constraint</x:v>
      </x:c>
      <x:c r="H1" s="10" t="str">
        <x:v>Your target role</x:v>
      </x:c>
    </x:row>
    <x:row r="2">
      <x:c r="A2" s="11" t="str">
        <x:v>customers.csv</x:v>
      </x:c>
      <x:c r="B2" s="11" t="str">
        <x:v>Determine from data</x:v>
      </x:c>
      <x:c r="C2" s="11" t="str">
        <x:v>Determine from data</x:v>
      </x:c>
      <x:c r="D2" s="11" t="str">
        <x:v>Mixed / infer from case requirements</x:v>
      </x:c>
      <x:c r="E2" s="11" t="str">
        <x:v>Infer / use case requirement</x:v>
      </x:c>
      <x:c r="F2" s="11" t="str">
        <x:v>Infer / use case requirement</x:v>
      </x:c>
      <x:c r="G2" s="11" t="str"/>
      <x:c r="H2" s="11" t="str">
        <x:v>Undecided</x:v>
      </x:c>
    </x:row>
    <x:row r="3">
      <x:c r="A3" s="11" t="str">
        <x:v>customer_profile_changes.csv</x:v>
      </x:c>
      <x:c r="B3" s="11" t="str">
        <x:v>Determine from data</x:v>
      </x:c>
      <x:c r="C3" s="11" t="str">
        <x:v>Determine from data</x:v>
      </x:c>
      <x:c r="D3" s="11" t="str">
        <x:v>Mixed / infer from case requirements</x:v>
      </x:c>
      <x:c r="E3" s="11" t="str">
        <x:v>Infer / use case requirement</x:v>
      </x:c>
      <x:c r="F3" s="11" t="str">
        <x:v>Infer / use case requirement</x:v>
      </x:c>
      <x:c r="G3" s="11" t="str"/>
      <x:c r="H3" s="11" t="str">
        <x:v>Undecided</x:v>
      </x:c>
    </x:row>
    <x:row r="4">
      <x:c r="A4" s="11" t="str">
        <x:v>orders.csv</x:v>
      </x:c>
      <x:c r="B4" s="11" t="str">
        <x:v>Determine from data</x:v>
      </x:c>
      <x:c r="C4" s="11" t="str">
        <x:v>Determine from data</x:v>
      </x:c>
      <x:c r="D4" s="11" t="str">
        <x:v>Private/on-prem</x:v>
      </x:c>
      <x:c r="E4" s="11" t="str">
        <x:v>Restricted</x:v>
      </x:c>
      <x:c r="F4" s="11" t="str">
        <x:v>30 min</x:v>
      </x:c>
      <x:c r="G4" s="11" t="str"/>
      <x:c r="H4" s="11" t="str">
        <x:v>Undecided</x:v>
      </x:c>
    </x:row>
    <x:row r="5">
      <x:c r="A5" s="11" t="str">
        <x:v>order_items.csv</x:v>
      </x:c>
      <x:c r="B5" s="11" t="str">
        <x:v>Determine from data</x:v>
      </x:c>
      <x:c r="C5" s="11" t="str">
        <x:v>Determine from data</x:v>
      </x:c>
      <x:c r="D5" s="11" t="str">
        <x:v>Private/on-prem</x:v>
      </x:c>
      <x:c r="E5" s="11" t="str">
        <x:v>Restricted</x:v>
      </x:c>
      <x:c r="F5" s="11" t="str">
        <x:v>30 min</x:v>
      </x:c>
      <x:c r="G5" s="11" t="str"/>
      <x:c r="H5" s="11" t="str">
        <x:v>Undecided</x:v>
      </x:c>
    </x:row>
    <x:row r="6">
      <x:c r="A6" s="11" t="str">
        <x:v>order_events.csv</x:v>
      </x:c>
      <x:c r="B6" s="11" t="str">
        <x:v>Determine from data</x:v>
      </x:c>
      <x:c r="C6" s="11" t="str">
        <x:v>Determine from data</x:v>
      </x:c>
      <x:c r="D6" s="11" t="str">
        <x:v>Private/on-prem</x:v>
      </x:c>
      <x:c r="E6" s="11" t="str">
        <x:v>Restricted</x:v>
      </x:c>
      <x:c r="F6" s="11" t="str">
        <x:v>30 min</x:v>
      </x:c>
      <x:c r="G6" s="11" t="str"/>
      <x:c r="H6" s="11" t="str">
        <x:v>Undecided</x:v>
      </x:c>
    </x:row>
    <x:row r="7">
      <x:c r="A7" s="11" t="str">
        <x:v>returns.csv</x:v>
      </x:c>
      <x:c r="B7" s="11" t="str">
        <x:v>Determine from data</x:v>
      </x:c>
      <x:c r="C7" s="11" t="str">
        <x:v>Determine from data</x:v>
      </x:c>
      <x:c r="D7" s="11" t="str">
        <x:v>Cloud SaaS</x:v>
      </x:c>
      <x:c r="E7" s="11" t="str">
        <x:v>Confidential</x:v>
      </x:c>
      <x:c r="F7" s="11" t="str">
        <x:v>Hourly</x:v>
      </x:c>
      <x:c r="G7" s="11" t="str"/>
      <x:c r="H7" s="11" t="str">
        <x:v>Undecided</x:v>
      </x:c>
    </x:row>
    <x:row r="8">
      <x:c r="A8" s="11" t="str">
        <x:v>customer_tags.csv</x:v>
      </x:c>
      <x:c r="B8" s="11" t="str">
        <x:v>Determine from data</x:v>
      </x:c>
      <x:c r="C8" s="11" t="str">
        <x:v>Determine from data</x:v>
      </x:c>
      <x:c r="D8" s="11" t="str">
        <x:v>Mixed / infer from case requirements</x:v>
      </x:c>
      <x:c r="E8" s="11" t="str">
        <x:v>Infer / use case requirement</x:v>
      </x:c>
      <x:c r="F8" s="11" t="str">
        <x:v>Infer / use case requirement</x:v>
      </x:c>
      <x:c r="G8" s="11" t="str"/>
      <x:c r="H8" s="11" t="str">
        <x:v>Undecided</x:v>
      </x:c>
    </x:row>
    <x:row r="9">
      <x:c r="A9" s="11" t="str">
        <x:v>monthly_region_targets.csv</x:v>
      </x:c>
      <x:c r="B9" s="11" t="str">
        <x:v>Determine from data</x:v>
      </x:c>
      <x:c r="C9" s="11" t="str">
        <x:v>Determine from data</x:v>
      </x:c>
      <x:c r="D9" s="11" t="str">
        <x:v>Mixed / infer from case requirements</x:v>
      </x:c>
      <x:c r="E9" s="11" t="str">
        <x:v>Infer / use case requirement</x:v>
      </x:c>
      <x:c r="F9" s="11" t="str">
        <x:v>Infer / use case requirement</x:v>
      </x:c>
      <x:c r="G9" s="11" t="str"/>
      <x:c r="H9" s="11" t="str">
        <x:v>Undecided</x:v>
      </x:c>
    </x:row>
    <x:row r="10">
      <x:c r="A10" s="11" t="str">
        <x:v>platform_requirements.csv</x:v>
      </x:c>
      <x:c r="B10" s="11" t="str">
        <x:v>Determine from data</x:v>
      </x:c>
      <x:c r="C10" s="11" t="str">
        <x:v>Determine from data</x:v>
      </x:c>
      <x:c r="D10" s="11" t="str">
        <x:v>Mixed / infer from case requirements</x:v>
      </x:c>
      <x:c r="E10" s="11" t="str">
        <x:v>Infer / use case requirement</x:v>
      </x:c>
      <x:c r="F10" s="11" t="str">
        <x:v>Infer / use case requirement</x:v>
      </x:c>
      <x:c r="G10" s="11" t="str"/>
      <x:c r="H10" s="11" t="str">
        <x:v>Undecided</x:v>
      </x:c>
    </x:row>
  </x:sheetData>
  <x:dataValidations count="1">
    <x:dataValidation type="list" sqref="H2:H10">
      <x:formula1>"Dimension,Fact,Bridge,Staging only,Metadata/reference,Serving,Undecided"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42" hidden="0" customWidth="1"/>
    <x:col min="5" max="5" width="42" hidden="0" customWidth="1"/>
    <x:col min="6" max="6" width="40" hidden="0" customWidth="1"/>
    <x:col min="7" max="7" width="16" hidden="0" customWidth="1"/>
  </x:cols>
  <x:sheetData>
    <x:row r="1">
      <x:c r="A1" s="10" t="str">
        <x:v>SQL competency</x:v>
      </x:c>
      <x:c r="B1" s="10" t="str">
        <x:v>Input grain</x:v>
      </x:c>
      <x:c r="C1" s="10" t="str">
        <x:v>Output grain</x:v>
      </x:c>
      <x:c r="D1" s="10" t="str">
        <x:v>Query/artifact</x:v>
      </x:c>
      <x:c r="E1" s="10" t="str">
        <x:v>Independent validation</x:v>
      </x:c>
      <x:c r="F1" s="10" t="str">
        <x:v>Failure caught</x:v>
      </x:c>
      <x:c r="G1" s="10" t="str">
        <x:v>Status</x:v>
      </x:c>
    </x:row>
    <x:row r="2">
      <x:c r="A2" s="11" t="str">
        <x:v>Join/cardinality safety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Order/transaction-level metric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CTE/staged architecture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Window/ranking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LAG/time analysis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Conditional/KPI logic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Quality investigation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Date/timestamp boundary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Debugging control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EXPLAIN/index awareness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Maintainable handoff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Final reconciliation</x:v>
      </x:c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G2:G13">
      <x:formula1>"Not started,Developing,Pass,Repair"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6" hidden="0" customWidth="1"/>
    <x:col min="5" max="5" width="38" hidden="0" customWidth="1"/>
    <x:col min="6" max="6" width="40" hidden="0" customWidth="1"/>
    <x:col min="7" max="7" width="34" hidden="0" customWidth="1"/>
    <x:col min="8" max="8" width="40" hidden="0" customWidth="1"/>
  </x:cols>
  <x:sheetData>
    <x:row r="1">
      <x:c r="A1" s="10" t="str">
        <x:v>Pipeline stage</x:v>
      </x:c>
      <x:c r="B1" s="10" t="str">
        <x:v>Input</x:v>
      </x:c>
      <x:c r="C1" s="10" t="str">
        <x:v>Output</x:v>
      </x:c>
      <x:c r="D1" s="10" t="str">
        <x:v>Reusable function/module</x:v>
      </x:c>
      <x:c r="E1" s="10" t="str">
        <x:v>Validation</x:v>
      </x:c>
      <x:c r="F1" s="10" t="str">
        <x:v>Failure/recovery</x:v>
      </x:c>
      <x:c r="G1" s="10" t="str">
        <x:v>Rerun/idempotence</x:v>
      </x:c>
      <x:c r="H1" s="10" t="str">
        <x:v>Evidence</x:v>
      </x:c>
    </x:row>
    <x:row r="2">
      <x:c r="A2" s="11" t="str">
        <x:v>Discover files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Load/parse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Schema/type checks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Transform/enrich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Key/cardinality validation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Quality checks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Publish curated outputs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Logging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Run manifest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Failure fixture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Second unchanged run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Changed transfer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6" hidden="0" customWidth="1"/>
    <x:col min="4" max="4" width="22" hidden="0" customWidth="1"/>
    <x:col min="5" max="5" width="26" hidden="0" customWidth="1"/>
    <x:col min="6" max="6" width="34" hidden="0" customWidth="1"/>
    <x:col min="7" max="7" width="36" hidden="0" customWidth="1"/>
    <x:col min="8" max="8" width="44" hidden="0" customWidth="1"/>
  </x:cols>
  <x:sheetData>
    <x:row r="1">
      <x:c r="A1" s="10" t="str">
        <x:v>Model table</x:v>
      </x:c>
      <x:c r="B1" s="10" t="str">
        <x:v>Type</x:v>
      </x:c>
      <x:c r="C1" s="10" t="str">
        <x:v>Target grain</x:v>
      </x:c>
      <x:c r="D1" s="10" t="str">
        <x:v>Surrogate key</x:v>
      </x:c>
      <x:c r="E1" s="10" t="str">
        <x:v>Business key</x:v>
      </x:c>
      <x:c r="F1" s="10" t="str">
        <x:v>Source(s)</x:v>
      </x:c>
      <x:c r="G1" s="10" t="str">
        <x:v>Date/history role</x:v>
      </x:c>
      <x:c r="H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</x:sheetData>
  <x:dataValidations count="1">
    <x:dataValidation type="list" sqref="B2:B15">
      <x:formula1>"Fact,Dimension,Bridge,Date dimension,Metadata/audit"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  <x:col min="6" max="6" width="28" hidden="0" customWidth="1"/>
    <x:col min="7" max="7" width="38" hidden="0" customWidth="1"/>
    <x:col min="8" max="8" width="44" hidden="0" customWidth="1"/>
  </x:cols>
  <x:sheetData>
    <x:row r="1">
      <x:c r="A1" s="10" t="str">
        <x:v>From table</x:v>
      </x:c>
      <x:c r="B1" s="10" t="str">
        <x:v>From key</x:v>
      </x:c>
      <x:c r="C1" s="10" t="str">
        <x:v>To table</x:v>
      </x:c>
      <x:c r="D1" s="10" t="str">
        <x:v>To key</x:v>
      </x:c>
      <x:c r="E1" s="10" t="str">
        <x:v>Cardinality</x:v>
      </x:c>
      <x:c r="F1" s="10" t="str">
        <x:v>Filter/join direction</x:v>
      </x:c>
      <x:c r="G1" s="10" t="str">
        <x:v>Uniqueness proof</x:v>
      </x:c>
      <x:c r="H1" s="10" t="str">
        <x:v>Risk/control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6" hidden="0" customWidth="1"/>
    <x:col min="4" max="4" width="24" hidden="0" customWidth="1"/>
    <x:col min="5" max="5" width="28" hidden="0" customWidth="1"/>
    <x:col min="6" max="6" width="38" hidden="0" customWidth="1"/>
    <x:col min="7" max="7" width="42" hidden="0" customWidth="1"/>
    <x:col min="8" max="8" width="38" hidden="0" customWidth="1"/>
  </x:cols>
  <x:sheetData>
    <x:row r="1">
      <x:c r="A1" s="10" t="str">
        <x:v>Entity/attribute</x:v>
      </x:c>
      <x:c r="B1" s="10" t="str">
        <x:v>Business change</x:v>
      </x:c>
      <x:c r="C1" s="10" t="str">
        <x:v>Type</x:v>
      </x:c>
      <x:c r="D1" s="10" t="str">
        <x:v>Business key</x:v>
      </x:c>
      <x:c r="E1" s="10" t="str">
        <x:v>Surrogate/version key</x:v>
      </x:c>
      <x:c r="F1" s="10" t="str">
        <x:v>Effective-date rule</x:v>
      </x:c>
      <x:c r="G1" s="10" t="str">
        <x:v>Fact lookup rule</x:v>
      </x:c>
      <x:c r="H1" s="10" t="str">
        <x:v>Validation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dataValidations count="1">
    <x:dataValidation type="list" sqref="C2:C13">
      <x:formula1>"Type 0,Type 1,Type 2,Type 3,Not applicable,Other"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30" hidden="0" customWidth="1"/>
    <x:col min="5" max="5" width="20" hidden="0" customWidth="1"/>
    <x:col min="6" max="6" width="36" hidden="0" customWidth="1"/>
    <x:col min="7" max="7" width="42" hidden="0" customWidth="1"/>
    <x:col min="8" max="8" width="34" hidden="0" customWidth="1"/>
  </x:cols>
  <x:sheetData>
    <x:row r="1">
      <x:c r="A1" s="10" t="str">
        <x:v>Layer / component</x:v>
      </x:c>
      <x:c r="B1" s="10" t="str">
        <x:v>Purpose</x:v>
      </x:c>
      <x:c r="C1" s="10" t="str">
        <x:v>Input</x:v>
      </x:c>
      <x:c r="D1" s="10" t="str">
        <x:v>Output</x:v>
      </x:c>
      <x:c r="E1" s="10" t="str">
        <x:v>ETL/ELT/Hybrid</x:v>
      </x:c>
      <x:c r="F1" s="10" t="str">
        <x:v>Quality gate</x:v>
      </x:c>
      <x:c r="G1" s="10" t="str">
        <x:v>Replay/source-of-truth</x:v>
      </x:c>
      <x:c r="H1" s="10" t="str">
        <x:v>Owner/consumer</x:v>
      </x:c>
    </x:row>
    <x:row r="2">
      <x:c r="A2" s="11" t="str">
        <x:v>Operational/source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Landing/raw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Validated/conformed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Curated facts/dimensions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Serving/semantic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Quarantine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Metadata/lineage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Batch path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Low-latency path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Archive/retention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Alternative rejected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22" hidden="0" customWidth="1"/>
    <x:col min="5" max="5" width="26" hidden="0" customWidth="1"/>
    <x:col min="6" max="6" width="16" hidden="0" customWidth="1"/>
    <x:col min="7" max="7" width="20" hidden="0" customWidth="1"/>
    <x:col min="8" max="8" width="40" hidden="0" customWidth="1"/>
    <x:col min="9" max="9" width="38" hidden="0" customWidth="1"/>
  </x:cols>
  <x:sheetData>
    <x:row r="1">
      <x:c r="A1" s="10" t="str">
        <x:v>Check</x:v>
      </x:c>
      <x:c r="B1" s="10" t="str">
        <x:v>Dimension</x:v>
      </x:c>
      <x:c r="C1" s="10" t="str">
        <x:v>Rule</x:v>
      </x:c>
      <x:c r="D1" s="10" t="str">
        <x:v>Observed</x:v>
      </x:c>
      <x:c r="E1" s="10" t="str">
        <x:v>Expected/threshold</x:v>
      </x:c>
      <x:c r="F1" s="10" t="str">
        <x:v>Severity</x:v>
      </x:c>
      <x:c r="G1" s="10" t="str">
        <x:v>Block publish?</x:v>
      </x:c>
      <x:c r="H1" s="10" t="str">
        <x:v>Owner/action</x:v>
      </x:c>
      <x:c r="I1" s="10" t="str">
        <x:v>Evidence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</x:row>
  </x:sheetData>
  <x:dataValidations count="2">
    <x:dataValidation type="list" sqref="F2:F17">
      <x:formula1>"INFO,WARN,BLOCK"</x:formula1>
    </x:dataValidation>
    <x:dataValidation type="list" sqref="G2:G17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28" hidden="0" customWidth="1"/>
    <x:col min="5" max="5" width="34" hidden="0" customWidth="1"/>
    <x:col min="6" max="6" width="28" hidden="0" customWidth="1"/>
    <x:col min="7" max="7" width="34" hidden="0" customWidth="1"/>
    <x:col min="8" max="8" width="34" hidden="0" customWidth="1"/>
    <x:col min="9" max="9" width="44" hidden="0" customWidth="1"/>
  </x:cols>
  <x:sheetData>
    <x:row r="1">
      <x:c r="A1" s="10" t="str">
        <x:v>Decision</x:v>
      </x:c>
      <x:c r="B1" s="10" t="str">
        <x:v>Requirement/source</x:v>
      </x:c>
      <x:c r="C1" s="10" t="str">
        <x:v>Storage/item</x:v>
      </x:c>
      <x:c r="D1" s="10" t="str">
        <x:v>Compute/engine</x:v>
      </x:c>
      <x:c r="E1" s="10" t="str">
        <x:v>Connection/gateway</x:v>
      </x:c>
      <x:c r="F1" s="10" t="str">
        <x:v>Identity/persona</x:v>
      </x:c>
      <x:c r="G1" s="10" t="str">
        <x:v>Access control</x:v>
      </x:c>
      <x:c r="H1" s="10" t="str">
        <x:v>Governance</x:v>
      </x:c>
      <x:c r="I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6" hidden="0" customWidth="1"/>
    <x:col min="4" max="4" width="38" hidden="0" customWidth="1"/>
    <x:col min="5" max="5" width="24" hidden="0" customWidth="1"/>
    <x:col min="6" max="6" width="36" hidden="0" customWidth="1"/>
    <x:col min="7" max="7" width="40" hidden="0" customWidth="1"/>
    <x:col min="8" max="8" width="40" hidden="0" customWidth="1"/>
    <x:col min="9" max="9" width="16" hidden="0" customWidth="1"/>
  </x:cols>
  <x:sheetData>
    <x:row r="1">
      <x:c r="A1" s="10" t="str">
        <x:v>Flow/incident</x:v>
      </x:c>
      <x:c r="B1" s="10" t="str">
        <x:v>Freshness SLA</x:v>
      </x:c>
      <x:c r="C1" s="10" t="str">
        <x:v>Schedule/trigger</x:v>
      </x:c>
      <x:c r="D1" s="10" t="str">
        <x:v>Signal/evidence</x:v>
      </x:c>
      <x:c r="E1" s="10" t="str">
        <x:v>Owner</x:v>
      </x:c>
      <x:c r="F1" s="10" t="str">
        <x:v>Retry/backfill</x:v>
      </x:c>
      <x:c r="G1" s="10" t="str">
        <x:v>Validation after recovery</x:v>
      </x:c>
      <x:c r="H1" s="10" t="str">
        <x:v>Consumer communication</x:v>
      </x:c>
      <x:c r="I1" s="10" t="str">
        <x:v>Status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52" hidden="0" customWidth="1"/>
  </x:cols>
  <x:sheetData>
    <x:row r="1">
      <x:c r="A1" s="10" t="str">
        <x:v>Control</x:v>
      </x:c>
      <x:c r="B1" s="10" t="str">
        <x:v>Raw expected</x:v>
      </x:c>
      <x:c r="C1" s="10" t="str">
        <x:v>Curated/model observed</x:v>
      </x:c>
      <x:c r="D1" s="10" t="str">
        <x:v>Difference</x:v>
      </x:c>
      <x:c r="E1" s="10" t="str">
        <x:v>Status</x:v>
      </x:c>
      <x:c r="F1" s="10" t="str">
        <x:v>Evidence</x:v>
      </x:c>
    </x:row>
    <x:row r="2">
      <x:c r="A2" s="11" t="str">
        <x:v>Order/primary fact rows</x:v>
      </x:c>
      <x:c r="B2" s="11" t="str"/>
      <x:c r="C2" s="11"/>
      <x:c r="D2" s="11" t="str">
        <x:f>IF(OR(B2="",C2=""),"",C2-B2)</x:f>
      </x:c>
      <x:c r="E2" s="11" t="str">
        <x:f>IF(D2="","",IF(ABS(D2)&lt;0.01,"PASS","CHECK"))</x:f>
      </x:c>
      <x:c r="F2" s="11"/>
    </x:row>
    <x:row r="3">
      <x:c r="A3" s="11" t="str">
        <x:v>Primary business value</x:v>
      </x:c>
      <x:c r="B3" s="11" t="str"/>
      <x:c r="C3" s="11"/>
      <x:c r="D3" s="11" t="str">
        <x:f>IF(OR(B3="",C3=""),"",C3-B3)</x:f>
      </x:c>
      <x:c r="E3" s="11" t="str">
        <x:f>IF(D3="","",IF(ABS(D3)&lt;0.01,"PASS","CHECK"))</x:f>
      </x:c>
      <x:c r="F3" s="11"/>
    </x:row>
    <x:row r="4">
      <x:c r="A4" s="11" t="str">
        <x:v>Child/event rows</x:v>
      </x:c>
      <x:c r="B4" s="11" t="str"/>
      <x:c r="C4" s="11"/>
      <x:c r="D4" s="11" t="str">
        <x:f>IF(OR(B4="",C4=""),"",C4-B4)</x:f>
      </x:c>
      <x:c r="E4" s="11" t="str">
        <x:f>IF(D4="","",IF(ABS(D4)&lt;0.01,"PASS","CHECK"))</x:f>
      </x:c>
      <x:c r="F4" s="11"/>
    </x:row>
    <x:row r="5">
      <x:c r="A5" s="11" t="str">
        <x:v>Orphan rows</x:v>
      </x:c>
      <x:c r="B5" s="11" t="str"/>
      <x:c r="C5" s="11"/>
      <x:c r="D5" s="11" t="str">
        <x:f>IF(OR(B5="",C5=""),"",C5-B5)</x:f>
      </x:c>
      <x:c r="E5" s="11" t="str">
        <x:f>IF(D5="","",IF(ABS(D5)&lt;0.01,"PASS","CHECK"))</x:f>
      </x:c>
      <x:c r="F5" s="11"/>
    </x:row>
    <x:row r="6">
      <x:c r="A6" s="11" t="str">
        <x:v>Duplicate business-key/version rows</x:v>
      </x:c>
      <x:c r="B6" s="11" t="str"/>
      <x:c r="C6" s="11"/>
      <x:c r="D6" s="11" t="str">
        <x:f>IF(OR(B6="",C6=""),"",C6-B6)</x:f>
      </x:c>
      <x:c r="E6" s="11" t="str">
        <x:f>IF(D6="","",IF(ABS(D6)&lt;0.01,"PASS","CHECK"))</x:f>
      </x:c>
      <x:c r="F6" s="11"/>
    </x:row>
    <x:row r="7">
      <x:c r="A7" s="11" t="str">
        <x:v>Target/control rows</x:v>
      </x:c>
      <x:c r="B7" s="11" t="str"/>
      <x:c r="C7" s="11"/>
      <x:c r="D7" s="11" t="str">
        <x:f>IF(OR(B7="",C7=""),"",C7-B7)</x:f>
      </x:c>
      <x:c r="E7" s="11" t="str">
        <x:f>IF(D7="","",IF(ABS(D7)&lt;0.01,"PASS","CHECK"))</x:f>
      </x:c>
      <x:c r="F7" s="11"/>
    </x:row>
    <x:row r="8">
      <x:c r="A8" s="11" t="str">
        <x:v>Extra control 1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  <x:row r="9">
      <x:c r="A9" s="11" t="str">
        <x:v>Extra control 2</x:v>
      </x:c>
      <x:c r="B9" s="11" t="str"/>
      <x:c r="C9" s="11" t="str"/>
      <x:c r="D9" s="11" t="str">
        <x:f>IF(OR(B9="",C9=""),"",C9-B9)</x:f>
      </x:c>
      <x:c r="E9" s="11" t="str">
        <x:f>IF(D9="","",IF(ABS(D9)&lt;0.01,"PASS","CHECK"))</x:f>
      </x:c>
      <x:c r="F9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40" hidden="0" customWidth="1"/>
    <x:col min="5" max="5" width="36" hidden="0" customWidth="1"/>
    <x:col min="6" max="6" width="34" hidden="0" customWidth="1"/>
    <x:col min="7" max="7" width="42" hidden="0" customWidth="1"/>
    <x:col min="8" max="8" width="42" hidden="0" customWidth="1"/>
  </x:cols>
  <x:sheetData>
    <x:row r="1">
      <x:c r="A1" s="10" t="str">
        <x:v>Failure</x:v>
      </x:c>
      <x:c r="B1" s="10" t="str">
        <x:v>How detected</x:v>
      </x:c>
      <x:c r="C1" s="10" t="str">
        <x:v>Containment</x:v>
      </x:c>
      <x:c r="D1" s="10" t="str">
        <x:v>Root cause evidence</x:v>
      </x:c>
      <x:c r="E1" s="10" t="str">
        <x:v>Repair</x:v>
      </x:c>
      <x:c r="F1" s="10" t="str">
        <x:v>Replay/backfill</x:v>
      </x:c>
      <x:c r="G1" s="10" t="str">
        <x:v>Post-recovery validation</x:v>
      </x:c>
      <x:c r="H1" s="10" t="str">
        <x:v>Owner/communication</x:v>
      </x:c>
    </x:row>
    <x:row r="2">
      <x:c r="A2" s="11" t="str">
        <x:v>Bad numeric/schema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Duplicate dimension/business key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Orphan child/event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Join fan-out / reconciliation break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Source unavailable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Authentication/credential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Late/missing file/event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Publish blocked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Rerun duplicate risk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Incident defense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94" hidden="0" customWidth="1"/>
  </x:cols>
  <x:sheetData>
    <x:row r="1">
      <x:c r="A1" s="10" t="str">
        <x:v>Handoff / defense item</x:v>
      </x:c>
      <x:c r="B1" s="10" t="str">
        <x:v>Your evidence / explanation</x:v>
      </x:c>
    </x:row>
    <x:row r="2">
      <x:c r="A2" s="11" t="str">
        <x:v>Business problem</x:v>
      </x:c>
      <x:c r="B2" s="11" t="str"/>
    </x:row>
    <x:row r="3">
      <x:c r="A3" s="11" t="str">
        <x:v>Source list + owners</x:v>
      </x:c>
      <x:c r="B3" s="11" t="str"/>
    </x:row>
    <x:row r="4">
      <x:c r="A4" s="11" t="str">
        <x:v>Source grains</x:v>
      </x:c>
      <x:c r="B4" s="11" t="str"/>
    </x:row>
    <x:row r="5">
      <x:c r="A5" s="11" t="str">
        <x:v>Target/model grains</x:v>
      </x:c>
      <x:c r="B5" s="11" t="str"/>
    </x:row>
    <x:row r="6">
      <x:c r="A6" s="11" t="str">
        <x:v>Metric/business rules</x:v>
      </x:c>
      <x:c r="B6" s="11" t="str"/>
    </x:row>
    <x:row r="7">
      <x:c r="A7" s="11" t="str">
        <x:v>Freshness/SLA</x:v>
      </x:c>
      <x:c r="B7" s="11" t="str"/>
    </x:row>
    <x:row r="8">
      <x:c r="A8" s="11" t="str">
        <x:v>Access/sensitivity</x:v>
      </x:c>
      <x:c r="B8" s="11" t="str"/>
    </x:row>
    <x:row r="9">
      <x:c r="A9" s="11" t="str">
        <x:v>SQL validation</x:v>
      </x:c>
      <x:c r="B9" s="11" t="str"/>
    </x:row>
    <x:row r="10">
      <x:c r="A10" s="11" t="str">
        <x:v>Python validation</x:v>
      </x:c>
      <x:c r="B10" s="11" t="str"/>
    </x:row>
    <x:row r="11">
      <x:c r="A11" s="11" t="str">
        <x:v>Model/warehouse decision</x:v>
      </x:c>
      <x:c r="B11" s="11" t="str"/>
    </x:row>
    <x:row r="12">
      <x:c r="A12" s="11" t="str">
        <x:v>Quality/reconciliation</x:v>
      </x:c>
      <x:c r="B12" s="11" t="str"/>
    </x:row>
    <x:row r="13">
      <x:c r="A13" s="11" t="str">
        <x:v>Monitoring/failure behavior</x:v>
      </x:c>
      <x:c r="B13" s="11" t="str"/>
    </x:row>
    <x:row r="14">
      <x:c r="A14" s="11" t="str">
        <x:v>Known limitation</x:v>
      </x:c>
      <x:c r="B14" s="11" t="str"/>
    </x:row>
    <x:row r="15">
      <x:c r="A15" s="11" t="str">
        <x:v>Owner + next action</x:v>
      </x:c>
      <x:c r="B15" s="11" t="str"/>
    </x:row>
    <x:row r="16">
      <x:c r="A16" s="11" t="str">
        <x:v>Alternative rejected</x:v>
      </x:c>
      <x:c r="B16" s="11" t="str"/>
    </x:row>
    <x:row r="17">
      <x:c r="A17" s="11" t="str">
        <x:v>60-90 second defense</x:v>
      </x:c>
      <x:c r="B17" s="11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20" hidden="0" customWidth="1"/>
    <x:col min="4" max="4" width="20" hidden="0" customWidth="1"/>
    <x:col min="5" max="5" width="44" hidden="0" customWidth="1"/>
    <x:col min="6" max="6" width="46" hidden="0" customWidth="1"/>
  </x:cols>
  <x:sheetData>
    <x:row r="1">
      <x:c r="A1" s="10" t="str">
        <x:v>Readiness area</x:v>
      </x:c>
      <x:c r="B1" s="10" t="str">
        <x:v>Minimum</x:v>
      </x:c>
      <x:c r="C1" s="10" t="str">
        <x:v>Your evidence score</x:v>
      </x:c>
      <x:c r="D1" s="10" t="str">
        <x:v>Floor status</x:v>
      </x:c>
      <x:c r="E1" s="10" t="str">
        <x:v>Evidence location</x:v>
      </x:c>
      <x:c r="F1" s="10" t="str">
        <x:v>Repair if weak</x:v>
      </x:c>
    </x:row>
    <x:row r="2">
      <x:c r="A2" s="11" t="str">
        <x:v>Advanced SQL</x:v>
      </x:c>
      <x:c r="B2" s="11" t="n">
        <x:v>3</x:v>
      </x:c>
      <x:c r="C2" s="11" t="str"/>
      <x:c r="D2" s="11" t="str">
        <x:f>IF(C2="","",IF(C2&gt;=B2,"PASS","REPAIR"))</x:f>
      </x:c>
      <x:c r="E2" s="11" t="str"/>
      <x:c r="F2" s="11" t="str">
        <x:v>B01 targeted SQL repair</x:v>
      </x:c>
    </x:row>
    <x:row r="3">
      <x:c r="A3" s="11" t="str">
        <x:v>Python automation</x:v>
      </x:c>
      <x:c r="B3" s="11" t="n">
        <x:v>3</x:v>
      </x:c>
      <x:c r="C3" s="11" t="str"/>
      <x:c r="D3" s="11" t="str">
        <x:f>IF(C3="","",IF(C3&gt;=B3,"PASS","REPAIR"))</x:f>
      </x:c>
      <x:c r="E3" s="11" t="str"/>
      <x:c r="F3" s="11" t="str">
        <x:v>B02 targeted pipeline repair</x:v>
      </x:c>
    </x:row>
    <x:row r="4">
      <x:c r="A4" s="11" t="str">
        <x:v>Data modeling</x:v>
      </x:c>
      <x:c r="B4" s="11" t="n">
        <x:v>3</x:v>
      </x:c>
      <x:c r="C4" s="11" t="str"/>
      <x:c r="D4" s="11" t="str">
        <x:f>IF(C4="","",IF(C4&gt;=B4,"PASS","REPAIR"))</x:f>
      </x:c>
      <x:c r="E4" s="11" t="str"/>
      <x:c r="F4" s="11" t="str">
        <x:v>B03 targeted model repair</x:v>
      </x:c>
    </x:row>
    <x:row r="5">
      <x:c r="A5" s="11" t="str">
        <x:v>Warehousing</x:v>
      </x:c>
      <x:c r="B5" s="11" t="n">
        <x:v>3</x:v>
      </x:c>
      <x:c r="C5" s="11" t="str"/>
      <x:c r="D5" s="11" t="str">
        <x:f>IF(C5="","",IF(C5&gt;=B5,"PASS","REPAIR"))</x:f>
      </x:c>
      <x:c r="E5" s="11" t="str"/>
      <x:c r="F5" s="11" t="str">
        <x:v>B04 keys/SCD/layers repair</x:v>
      </x:c>
    </x:row>
    <x:row r="6">
      <x:c r="A6" s="11" t="str">
        <x:v>Data quality</x:v>
      </x:c>
      <x:c r="B6" s="11" t="n">
        <x:v>3</x:v>
      </x:c>
      <x:c r="C6" s="11" t="str"/>
      <x:c r="D6" s="11" t="str">
        <x:f>IF(C6="","",IF(C6&gt;=B6,"PASS","REPAIR"))</x:f>
      </x:c>
      <x:c r="E6" s="11" t="str"/>
      <x:c r="F6" s="11" t="str">
        <x:v>B04 quality/reconciliation repair</x:v>
      </x:c>
    </x:row>
    <x:row r="7">
      <x:c r="A7" s="11" t="str">
        <x:v>Independent analysis</x:v>
      </x:c>
      <x:c r="B7" s="11" t="n">
        <x:v>3</x:v>
      </x:c>
      <x:c r="C7" s="11" t="str"/>
      <x:c r="D7" s="11" t="str">
        <x:f>IF(C7="","",IF(C7&gt;=B7,"PASS","REPAIR"))</x:f>
      </x:c>
      <x:c r="E7" s="11" t="str"/>
      <x:c r="F7" s="11" t="str">
        <x:v>Repeat fresh ambiguous transfer without answer copying</x:v>
      </x:c>
    </x:row>
    <x:row r="8">
      <x:c r="A8" s="11" t="str">
        <x:v>Cloud/Fabric</x:v>
      </x:c>
      <x:c r="B8" s="11" t="n">
        <x:v>2</x:v>
      </x:c>
      <x:c r="C8" s="11" t="str"/>
      <x:c r="D8" s="11" t="str">
        <x:f>IF(C8="","",IF(C8&gt;=B8,"PASS","REPAIR"))</x:f>
      </x:c>
      <x:c r="E8" s="11" t="str"/>
      <x:c r="F8" s="11" t="str">
        <x:v>B05 platform/access/monitoring repair</x:v>
      </x:c>
    </x:row>
    <x:row r="9">
      <x:c r="A9" s="11" t="str">
        <x:v>Professional ownership</x:v>
      </x:c>
      <x:c r="B9" s="11" t="n">
        <x:v>2</x:v>
      </x:c>
      <x:c r="C9" s="11" t="str"/>
      <x:c r="D9" s="11" t="str">
        <x:f>IF(C9="","",IF(C9&gt;=B9,"PASS","REPAIR"))</x:f>
      </x:c>
      <x:c r="E9" s="11" t="str"/>
      <x:c r="F9" s="11" t="str">
        <x:v>Handoff/failure/limitation repair</x:v>
      </x:c>
    </x:row>
    <x:row r="10">
      <x:c r="A10" s="11" t="str">
        <x:v>B06 Final Gate passed?</x:v>
      </x:c>
      <x:c r="B10" s="11" t="str">
        <x:v>Yes</x:v>
      </x:c>
      <x:c r="C10" s="11" t="str"/>
      <x:c r="D10" s="11" t="str">
        <x:f>IF(C10="","",IF(C10="Yes","PASS","REPAIR"))</x:f>
      </x:c>
      <x:c r="E10" s="11" t="str"/>
      <x:c r="F10" s="11" t="str">
        <x:v>Fresh B06 Gate after repair</x:v>
      </x:c>
    </x:row>
    <x:row r="11">
      <x:c r="A11" s="11" t="str">
        <x:v>Overall entry status</x:v>
      </x:c>
      <x:c r="B11" s="11" t="str"/>
      <x:c r="C11" s="11" t="str"/>
      <x:c r="D11" s="11" t="str">
        <x:f>IF(AND(COUNTIF(D2:D10,"REPAIR")=0,COUNTIF(D2:D10,"PASS")=9),"C3 ENTRY READY","REPAIR BEFORE C3")</x:f>
        <x:v>REPAIR BEFORE C3</x:v>
      </x:c>
      <x:c r="E11" s="11" t="str"/>
      <x:c r="F11" s="11" t="str"/>
    </x:row>
  </x:sheetData>
  <x:dataValidations count="2">
    <x:dataValidation type="list" sqref="C2:C9">
      <x:formula1>"0,1,2,3,4"</x:formula1>
    </x:dataValidation>
    <x:dataValidation type="list" sqref="C10">
      <x:formula1>"Yes,No"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94" hidden="0" customWidth="1"/>
  </x:cols>
  <x:sheetData>
    <x:row r="1">
      <x:c r="A1" s="10" t="str">
        <x:v>Final submission item</x:v>
      </x:c>
      <x:c r="B1" s="10" t="str">
        <x:v>Artifact / evidence</x:v>
      </x:c>
    </x:row>
    <x:row r="2">
      <x:c r="A2" s="11" t="str">
        <x:v>SQL script + validation</x:v>
      </x:c>
      <x:c r="B2" s="11" t="str"/>
    </x:row>
    <x:row r="3">
      <x:c r="A3" s="11" t="str">
        <x:v>Python pipeline + run manifest</x:v>
      </x:c>
      <x:c r="B3" s="11" t="str"/>
    </x:row>
    <x:row r="4">
      <x:c r="A4" s="11" t="str">
        <x:v>Source/data contract</x:v>
      </x:c>
      <x:c r="B4" s="11" t="str"/>
    </x:row>
    <x:row r="5">
      <x:c r="A5" s="11" t="str">
        <x:v>Model diagram/table design</x:v>
      </x:c>
      <x:c r="B5" s="11" t="str"/>
    </x:row>
    <x:row r="6">
      <x:c r="A6" s="11" t="str">
        <x:v>SCD/key strategy</x:v>
      </x:c>
      <x:c r="B6" s="11" t="str"/>
    </x:row>
    <x:row r="7">
      <x:c r="A7" s="11" t="str">
        <x:v>Warehouse/layer architecture</x:v>
      </x:c>
      <x:c r="B7" s="11" t="str"/>
    </x:row>
    <x:row r="8">
      <x:c r="A8" s="11" t="str">
        <x:v>Data-quality controls</x:v>
      </x:c>
      <x:c r="B8" s="11" t="str"/>
    </x:row>
    <x:row r="9">
      <x:c r="A9" s="11" t="str">
        <x:v>Cloud/access/refresh/monitoring design</x:v>
      </x:c>
      <x:c r="B9" s="11" t="str"/>
    </x:row>
    <x:row r="10">
      <x:c r="A10" s="11" t="str">
        <x:v>Raw-to-output reconciliation</x:v>
      </x:c>
      <x:c r="B10" s="11" t="str"/>
    </x:row>
    <x:row r="11">
      <x:c r="A11" s="11" t="str">
        <x:v>Failure/recovery evidence</x:v>
      </x:c>
      <x:c r="B11" s="11" t="str"/>
    </x:row>
    <x:row r="12">
      <x:c r="A12" s="11" t="str">
        <x:v>Analyst-to-DE handoff</x:v>
      </x:c>
      <x:c r="B12" s="11" t="str"/>
    </x:row>
    <x:row r="13">
      <x:c r="A13" s="11" t="str">
        <x:v>Decision log / alternative rejected</x:v>
      </x:c>
      <x:c r="B13" s="11" t="str"/>
    </x:row>
    <x:row r="14">
      <x:c r="A14" s="11" t="str">
        <x:v>Known limitation</x:v>
      </x:c>
      <x:c r="B14" s="11" t="str"/>
    </x:row>
    <x:row r="15">
      <x:c r="A15" s="11" t="str">
        <x:v>Gate first-attempt integrity</x:v>
      </x:c>
      <x:c r="B15" s="11" t="str"/>
    </x:row>
    <x:row r="16">
      <x:c r="A16" s="11" t="str">
        <x:v>C3 readiness scorecard</x:v>
      </x:c>
      <x:c r="B16" s="11" t="str"/>
    </x:row>
    <x:row r="17">
      <x:c r="A17" s="11" t="str">
        <x:v>60-90 second architecture defense</x:v>
      </x:c>
      <x:c r="B17" s="11" t="str"/>
    </x:row>
    <x:row r="18">
      <x:c r="A18" s="11" t="str">
        <x:v>Final status</x:v>
      </x:c>
      <x:c r="B18" s="11" t="str">
        <x:v>Not Submitted</x:v>
      </x:c>
    </x:row>
  </x:sheetData>
  <x:dataValidations count="1">
    <x:dataValidation type="list" sqref="B18">
      <x:formula1>"Not Submitted,Attempted,Developing,Pass,Repair"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2" hidden="0" customWidth="1"/>
  </x:cols>
  <x:sheetData>
    <x:row r="1">
      <x:c r="A1" s="10" t="str">
        <x:v>B06 evidence summary</x:v>
      </x:c>
      <x:c r="B1" s="10" t="str">
        <x:v>Value</x:v>
      </x:c>
    </x:row>
    <x:row r="2">
      <x:c r="A2" s="11" t="str">
        <x:v>Sources inventoried</x:v>
      </x:c>
      <x:c r="B2" s="11" t="n">
        <x:v>9</x:v>
      </x:c>
    </x:row>
    <x:row r="3">
      <x:c r="A3" s="11" t="str">
        <x:v>SQL evidence rows completed</x:v>
      </x:c>
      <x:c r="B3" s="11" t="n">
        <x:f>COUNTIF(SQL_Evidence!G2:G13,"Pass")</x:f>
        <x:v>0</x:v>
      </x:c>
    </x:row>
    <x:row r="4">
      <x:c r="A4" s="11" t="str">
        <x:v>Python pipeline stages documented</x:v>
      </x:c>
      <x:c r="B4" s="11" t="n">
        <x:f>COUNTA(Python_Pipeline!A2:A13)</x:f>
        <x:v>12</x:v>
      </x:c>
    </x:row>
    <x:row r="5">
      <x:c r="A5" s="11" t="str">
        <x:v>Model tables proposed</x:v>
      </x:c>
      <x:c r="B5" s="11" t="n">
        <x:f>COUNTA(Model_Design!A2:A15)</x:f>
        <x:v>14</x:v>
      </x:c>
    </x:row>
    <x:row r="6">
      <x:c r="A6" s="11" t="str">
        <x:v>Data-quality controls documented</x:v>
      </x:c>
      <x:c r="B6" s="11" t="n">
        <x:f>COUNTA(Data_Quality!A2:A17)</x:f>
        <x:v>16</x:v>
      </x:c>
    </x:row>
    <x:row r="7">
      <x:c r="A7" s="11" t="str">
        <x:v>Reconciliation PASS rows</x:v>
      </x:c>
      <x:c r="B7" s="11" t="n">
        <x:f>COUNTIF(Reconciliation!E2:E30,"PASS")</x:f>
        <x:v>0</x:v>
      </x:c>
    </x:row>
    <x:row r="8">
      <x:c r="A8" s="11" t="str">
        <x:v>Readiness areas at/above floor</x:v>
      </x:c>
      <x:c r="B8" s="11" t="n">
        <x:f>COUNTIF(C3_Entry_Check!D2:D9,"PASS")</x:f>
        <x:v>0</x:v>
      </x:c>
    </x:row>
    <x:row r="9">
      <x:c r="A9" s="11" t="str">
        <x:v>Readiness areas below floor</x:v>
      </x:c>
      <x:c r="B9" s="11" t="n">
        <x:f>COUNTIF(C3_Entry_Check!D2:D9,"REPAIR")</x:f>
        <x:v>0</x:v>
      </x:c>
    </x:row>
    <x:row r="10">
      <x:c r="A10" s="11" t="str">
        <x:v>Protected assessment</x:v>
      </x:c>
      <x:c r="B10" s="11" t="str">
        <x:v>Yes</x:v>
      </x:c>
    </x:row>
    <x:row r="11">
      <x:c r="A11" s="11" t="str">
        <x:v>Status</x:v>
      </x:c>
      <x:c r="B11" s="11" t="str">
        <x:v>Internal QA</x:v>
      </x:c>
    </x:row>
  </x:sheetData>
  <x:pageMargins left="0.7" right="0.7" top="0.75" bottom="0.75" header="0.3" footer="0.3"/>
</x:worksheet>
</file>