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69ef6f683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05b1fa2dd8947e0"/>
    <x:sheet xmlns:r="http://schemas.openxmlformats.org/officeDocument/2006/relationships" name="Source_Inventory" sheetId="2" r:id="R197da4c55aaa42ed"/>
    <x:sheet xmlns:r="http://schemas.openxmlformats.org/officeDocument/2006/relationships" name="Model_Design" sheetId="3" r:id="R320ac590c8214ae5"/>
    <x:sheet xmlns:r="http://schemas.openxmlformats.org/officeDocument/2006/relationships" name="Relationships" sheetId="4" r:id="R7fdccb0f331b4f22"/>
    <x:sheet xmlns:r="http://schemas.openxmlformats.org/officeDocument/2006/relationships" name="Role_Playing_Dates" sheetId="5" r:id="R56b082d1be6d46cd"/>
    <x:sheet xmlns:r="http://schemas.openxmlformats.org/officeDocument/2006/relationships" name="Date_Dimension" sheetId="6" r:id="Ra130a7a7337543a8"/>
    <x:sheet xmlns:r="http://schemas.openxmlformats.org/officeDocument/2006/relationships" name="Reconciliation" sheetId="7" r:id="R3b6e74957ac04c16"/>
    <x:sheet xmlns:r="http://schemas.openxmlformats.org/officeDocument/2006/relationships" name="Submission" sheetId="8" r:id="Rac8c792126834342"/>
    <x:sheet xmlns:r="http://schemas.openxmlformats.org/officeDocument/2006/relationships" name="QA_Summary" sheetId="9" r:id="R134b051039ee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bf3a696024177" /><Relationship Type="http://schemas.openxmlformats.org/officeDocument/2006/relationships/theme" Target="/xl/theme/theme1.xml" Id="Re9437f5c6aa14ec3" /><Relationship Type="http://schemas.openxmlformats.org/officeDocument/2006/relationships/sharedStrings" Target="/xl/sharedStrings.xml" Id="R5c72549f5cbc4e65" /><Relationship Type="http://schemas.openxmlformats.org/officeDocument/2006/relationships/worksheet" Target="/xl/worksheets/sheet1.xml" Id="Ra05b1fa2dd8947e0" /><Relationship Type="http://schemas.openxmlformats.org/officeDocument/2006/relationships/worksheet" Target="/xl/worksheets/sheet2.xml" Id="R197da4c55aaa42ed" /><Relationship Type="http://schemas.openxmlformats.org/officeDocument/2006/relationships/worksheet" Target="/xl/worksheets/sheet3.xml" Id="R320ac590c8214ae5" /><Relationship Type="http://schemas.openxmlformats.org/officeDocument/2006/relationships/worksheet" Target="/xl/worksheets/sheet4.xml" Id="R7fdccb0f331b4f22" /><Relationship Type="http://schemas.openxmlformats.org/officeDocument/2006/relationships/worksheet" Target="/xl/worksheets/sheet5.xml" Id="R56b082d1be6d46cd" /><Relationship Type="http://schemas.openxmlformats.org/officeDocument/2006/relationships/worksheet" Target="/xl/worksheets/sheet6.xml" Id="Ra130a7a7337543a8" /><Relationship Type="http://schemas.openxmlformats.org/officeDocument/2006/relationships/worksheet" Target="/xl/worksheets/sheet7.xml" Id="R3b6e74957ac04c16" /><Relationship Type="http://schemas.openxmlformats.org/officeDocument/2006/relationships/worksheet" Target="/xl/worksheets/sheet8.xml" Id="Rac8c792126834342" /><Relationship Type="http://schemas.openxmlformats.org/officeDocument/2006/relationships/worksheet" Target="/xl/worksheets/sheet9.xml" Id="R134b051039ee46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0" t="str">
        <x:v>B03 Gate C - Energy Meter Readings</x:v>
      </x:c>
      <x:c r="B1" s="10" t="str">
        <x:v>INTERNAL QA</x:v>
      </x:c>
    </x:row>
    <x:row r="2">
      <x:c r="A2" s="11" t="str">
        <x:v>Purpose</x:v>
      </x:c>
      <x:c r="B2" s="11" t="str">
        <x:v>Design and defend a grain-safe semantic/dimensional model.</x:v>
      </x:c>
    </x:row>
    <x:row r="3">
      <x:c r="A3" s="11" t="str">
        <x:v>Rule 1</x:v>
      </x:c>
      <x:c r="B3" s="11" t="str">
        <x:v>State source grain before choosing Fact / Dimension / Bridge.</x:v>
      </x:c>
    </x:row>
    <x:row r="4">
      <x:c r="A4" s="11" t="str">
        <x:v>Rule 2</x:v>
      </x:c>
      <x:c r="B4" s="11" t="str">
        <x:v>Do not solve fan-out with DISTINCT or arbitrary many-to-many relationships.</x:v>
      </x:c>
    </x:row>
    <x:row r="5">
      <x:c r="A5" s="11" t="str">
        <x:v>Rule 3</x:v>
      </x:c>
      <x:c r="B5" s="11" t="str">
        <x:v>Targets/snapshots/events at different grains may need separate fact tables.</x:v>
      </x:c>
    </x:row>
    <x:row r="6">
      <x:c r="A6" s="11" t="str">
        <x:v>Rule 4</x:v>
      </x:c>
      <x:c r="B6" s="11" t="str">
        <x:v>Relationship cardinality and filter direction must be justified.</x:v>
      </x:c>
    </x:row>
    <x:row r="7">
      <x:c r="A7" s="11" t="str">
        <x:v>Rule 5</x:v>
      </x:c>
      <x:c r="B7" s="11" t="str">
        <x:v>Date roles must be explicit; one date table can play multiple roles with deliberate relationship design.</x:v>
      </x:c>
    </x:row>
    <x:row r="8">
      <x:c r="A8" s="11" t="str">
        <x:v>Rule 6</x:v>
      </x:c>
      <x:c r="B8" s="11" t="str">
        <x:v>Reconcile model totals to raw controls before trusting report output.</x:v>
      </x:c>
    </x:row>
    <x:row r="9">
      <x:c r="A9" s="11" t="str">
        <x:v>Power BI</x:v>
      </x:c>
      <x:c r="B9" s="11" t="str">
        <x:v>Desktop implementation evidence is recommended/expected where available; workbook remains the auditable design/evidence packet.</x:v>
      </x:c>
    </x:row>
    <x:row r="10">
      <x:c r="A10" s="11" t="str">
        <x:v>Protected Gate</x:v>
      </x:c>
      <x:c r="B10" s="11" t="str">
        <x:v>Lesson/review/tutorial/AI solving closed for Gate first attempts.</x:v>
      </x:c>
    </x:row>
    <x:row r="11">
      <x:c r="A11" s="11" t="str">
        <x:v>Status</x:v>
      </x:c>
      <x:c r="B11" s="11" t="str">
        <x:v>Internal QA</x:v>
      </x:c>
    </x:row>
    <x:row r="12">
      <x:c r="A12" s="11" t="str">
        <x:v>Generated</x:v>
      </x:c>
      <x:c r="B12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22" hidden="0" customWidth="1"/>
    <x:col min="4" max="4" width="30" hidden="0" customWidth="1"/>
    <x:col min="5" max="5" width="34" hidden="0" customWidth="1"/>
    <x:col min="6" max="6" width="34" hidden="0" customWidth="1"/>
    <x:col min="7" max="7" width="48" hidden="0" customWidth="1"/>
  </x:cols>
  <x:sheetData>
    <x:row r="1">
      <x:c r="A1" s="10" t="str">
        <x:v>Source</x:v>
      </x:c>
      <x:c r="B1" s="10" t="str">
        <x:v>Declared grain</x:v>
      </x:c>
      <x:c r="C1" s="10" t="str">
        <x:v>Candidate role</x:v>
      </x:c>
      <x:c r="D1" s="10" t="str">
        <x:v>Key / uniqueness</x:v>
      </x:c>
      <x:c r="E1" s="10" t="str">
        <x:v>Date fields</x:v>
      </x:c>
      <x:c r="F1" s="10" t="str">
        <x:v>Fan-out risk</x:v>
      </x:c>
      <x:c r="G1" s="10" t="str">
        <x:v>Your decision / notes</x:v>
      </x:c>
    </x:row>
    <x:row r="2">
      <x:c r="A2" s="11" t="str">
        <x:v>sites.csv</x:v>
      </x:c>
      <x:c r="B2" s="11" t="str">
        <x:v>one row per site</x:v>
      </x:c>
      <x:c r="C2" s="11" t="str">
        <x:v>Undecided</x:v>
      </x:c>
      <x:c r="D2" s="11" t="str">
        <x:v>site_id unique</x:v>
      </x:c>
      <x:c r="E2" s="11" t="str"/>
      <x:c r="F2" s="11" t="str"/>
      <x:c r="G2" s="11" t="str"/>
    </x:row>
    <x:row r="3">
      <x:c r="A3" s="11" t="str">
        <x:v>meters.csv</x:v>
      </x:c>
      <x:c r="B3" s="11" t="str">
        <x:v>one row per meter</x:v>
      </x:c>
      <x:c r="C3" s="11" t="str">
        <x:v>Undecided</x:v>
      </x:c>
      <x:c r="D3" s="11" t="str">
        <x:v>meter_id unique</x:v>
      </x:c>
      <x:c r="E3" s="11" t="str">
        <x:v>install_date</x:v>
      </x:c>
      <x:c r="F3" s="11" t="str"/>
      <x:c r="G3" s="11" t="str"/>
    </x:row>
    <x:row r="4">
      <x:c r="A4" s="11" t="str">
        <x:v>meter_readings.csv</x:v>
      </x:c>
      <x:c r="B4" s="11" t="str">
        <x:v>one row per meter-date reading</x:v>
      </x:c>
      <x:c r="C4" s="11" t="str">
        <x:v>Undecided</x:v>
      </x:c>
      <x:c r="D4" s="11" t="str">
        <x:v>reading_id unique</x:v>
      </x:c>
      <x:c r="E4" s="11" t="str">
        <x:v>reading_date</x:v>
      </x:c>
      <x:c r="F4" s="11" t="str"/>
      <x:c r="G4" s="11" t="str"/>
    </x:row>
    <x:row r="5">
      <x:c r="A5" s="11" t="str">
        <x:v>meter_alarms.csv</x:v>
      </x:c>
      <x:c r="B5" s="11" t="str">
        <x:v>one row per meter alarm</x:v>
      </x:c>
      <x:c r="C5" s="11" t="str">
        <x:v>Undecided</x:v>
      </x:c>
      <x:c r="D5" s="11" t="str">
        <x:v>alarm_id unique</x:v>
      </x:c>
      <x:c r="E5" s="11" t="str">
        <x:v>alarm_date</x:v>
      </x:c>
      <x:c r="F5" s="11" t="str"/>
      <x:c r="G5" s="11" t="str"/>
    </x:row>
    <x:row r="6">
      <x:c r="A6" s="11" t="str">
        <x:v>meter_programs.csv</x:v>
      </x:c>
      <x:c r="B6" s="11" t="str">
        <x:v>one row per meter-program</x:v>
      </x:c>
      <x:c r="C6" s="11" t="str">
        <x:v>Undecided</x:v>
      </x:c>
      <x:c r="D6" s="11" t="str">
        <x:v>meter_id+program</x:v>
      </x:c>
      <x:c r="E6" s="11" t="str"/>
      <x:c r="F6" s="11" t="str"/>
      <x:c r="G6" s="11" t="str"/>
    </x:row>
    <x:row r="7">
      <x:c r="A7" s="11" t="str">
        <x:v>monthly_energy_targets.csv</x:v>
      </x:c>
      <x:c r="B7" s="11" t="str">
        <x:v>one row per month-region</x:v>
      </x:c>
      <x:c r="C7" s="11" t="str">
        <x:v>Undecided</x:v>
      </x:c>
      <x:c r="D7" s="11" t="str">
        <x:v>month+region</x:v>
      </x:c>
      <x:c r="E7" s="11" t="str">
        <x:v>month</x:v>
      </x:c>
      <x:c r="F7" s="11" t="str"/>
      <x:c r="G7" s="11" t="str"/>
    </x:row>
  </x:sheetData>
  <x:dataValidations count="1">
    <x:dataValidation type="list" sqref="C2:C7">
      <x:formula1>"Dimension,Fact,Bridge,Staging/Source only,Undecided"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28" hidden="0" customWidth="1"/>
    <x:col min="5" max="5" width="34" hidden="0" customWidth="1"/>
    <x:col min="6" max="6" width="42" hidden="0" customWidth="1"/>
    <x:col min="7" max="7" width="50" hidden="0" customWidth="1"/>
  </x:cols>
  <x:sheetData>
    <x:row r="1">
      <x:c r="A1" s="10" t="str">
        <x:v>Model table</x:v>
      </x:c>
      <x:c r="B1" s="10" t="str">
        <x:v>Type</x:v>
      </x:c>
      <x:c r="C1" s="10" t="str">
        <x:v>Target grain</x:v>
      </x:c>
      <x:c r="D1" s="10" t="str">
        <x:v>Primary/Surrogate key</x:v>
      </x:c>
      <x:c r="E1" s="10" t="str">
        <x:v>Source(s)</x:v>
      </x:c>
      <x:c r="F1" s="10" t="str">
        <x:v>Important columns</x:v>
      </x:c>
      <x:c r="G1" s="10" t="str">
        <x:v>Why this table exists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</x:row>
  </x:sheetData>
  <x:dataValidations count="1">
    <x:dataValidation type="list" sqref="B2:B15">
      <x:formula1>"Dimension,Fact,Bridge,Date dimension"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8" hidden="0" customWidth="1"/>
    <x:col min="6" max="6" width="20" hidden="0" customWidth="1"/>
    <x:col min="7" max="7" width="13" hidden="0" customWidth="1"/>
    <x:col min="8" max="8" width="50" hidden="0" customWidth="1"/>
  </x:cols>
  <x:sheetData>
    <x:row r="1">
      <x:c r="A1" s="10" t="str">
        <x:v>From table</x:v>
      </x:c>
      <x:c r="B1" s="10" t="str">
        <x:v>From column</x:v>
      </x:c>
      <x:c r="C1" s="10" t="str">
        <x:v>To table</x:v>
      </x:c>
      <x:c r="D1" s="10" t="str">
        <x:v>To column</x:v>
      </x:c>
      <x:c r="E1" s="10" t="str">
        <x:v>Cardinality</x:v>
      </x:c>
      <x:c r="F1" s="10" t="str">
        <x:v>Filter direction</x:v>
      </x:c>
      <x:c r="G1" s="10" t="str">
        <x:v>Active?</x:v>
      </x:c>
      <x:c r="H1" s="10" t="str">
        <x:v>Rationale / risk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</x:row>
  </x:sheetData>
  <x:dataValidations count="3">
    <x:dataValidation type="list" sqref="E2:E17">
      <x:formula1>"1:*,*:1,1:1,*:*"</x:formula1>
    </x:dataValidation>
    <x:dataValidation type="list" sqref="F2:F17">
      <x:formula1>"Single,Both,None/Not applicable"</x:formula1>
    </x:dataValidation>
    <x:dataValidation type="list" sqref="G2:G17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20" hidden="0" customWidth="1"/>
    <x:col min="5" max="5" width="50" hidden="0" customWidth="1"/>
    <x:col min="6" max="6" width="40" hidden="0" customWidth="1"/>
  </x:cols>
  <x:sheetData>
    <x:row r="1">
      <x:c r="A1" s="10" t="str">
        <x:v>Business date role</x:v>
      </x:c>
      <x:c r="B1" s="10" t="str">
        <x:v>Source field</x:v>
      </x:c>
      <x:c r="C1" s="10" t="str">
        <x:v>Date dimension</x:v>
      </x:c>
      <x:c r="D1" s="10" t="str">
        <x:v>Relationship active?</x:v>
      </x:c>
      <x:c r="E1" s="10" t="str">
        <x:v>How used in measures/queries</x:v>
      </x:c>
      <x:c r="F1" s="10" t="str">
        <x:v>Validation</x:v>
      </x:c>
    </x:row>
    <x:row r="2">
      <x:c r="A2" s="11" t="str"/>
      <x:c r="B2" s="11" t="str"/>
      <x:c r="C2" s="11" t="str"/>
      <x:c r="D2" s="11" t="str"/>
      <x:c r="E2" s="11" t="str"/>
      <x:c r="F2" s="11" t="str"/>
    </x:row>
    <x:row r="3">
      <x:c r="A3" s="11" t="str"/>
      <x:c r="B3" s="11" t="str"/>
      <x:c r="C3" s="11" t="str"/>
      <x:c r="D3" s="11" t="str"/>
      <x:c r="E3" s="11" t="str"/>
      <x:c r="F3" s="11" t="str"/>
    </x:row>
    <x:row r="4">
      <x:c r="A4" s="11" t="str"/>
      <x:c r="B4" s="11" t="str"/>
      <x:c r="C4" s="11" t="str"/>
      <x:c r="D4" s="11" t="str"/>
      <x:c r="E4" s="11" t="str"/>
      <x:c r="F4" s="11" t="str"/>
    </x:row>
    <x:row r="5">
      <x:c r="A5" s="11" t="str"/>
      <x:c r="B5" s="11" t="str"/>
      <x:c r="C5" s="11" t="str"/>
      <x:c r="D5" s="11" t="str"/>
      <x:c r="E5" s="11" t="str"/>
      <x:c r="F5" s="11" t="str"/>
    </x:row>
    <x:row r="6">
      <x:c r="A6" s="11" t="str"/>
      <x:c r="B6" s="11" t="str"/>
      <x:c r="C6" s="11" t="str"/>
      <x:c r="D6" s="11" t="str"/>
      <x:c r="E6" s="11" t="str"/>
      <x:c r="F6" s="11" t="str"/>
    </x:row>
    <x:row r="7">
      <x:c r="A7" s="11" t="str"/>
      <x:c r="B7" s="11" t="str"/>
      <x:c r="C7" s="11" t="str"/>
      <x:c r="D7" s="11" t="str"/>
      <x:c r="E7" s="11" t="str"/>
      <x:c r="F7" s="11" t="str"/>
    </x:row>
    <x:row r="8">
      <x:c r="A8" s="11" t="str"/>
      <x:c r="B8" s="11" t="str"/>
      <x:c r="C8" s="11" t="str"/>
      <x:c r="D8" s="11" t="str"/>
      <x:c r="E8" s="11" t="str"/>
      <x:c r="F8" s="11" t="str"/>
    </x:row>
    <x:row r="9">
      <x:c r="A9" s="11" t="str"/>
      <x:c r="B9" s="11" t="str"/>
      <x:c r="C9" s="11" t="str"/>
      <x:c r="D9" s="11" t="str"/>
      <x:c r="E9" s="11" t="str"/>
      <x:c r="F9" s="11" t="str"/>
    </x:row>
    <x:row r="10">
      <x:c r="A10" s="11" t="str"/>
      <x:c r="B10" s="11" t="str"/>
      <x:c r="C10" s="11" t="str"/>
      <x:c r="D10" s="11" t="str"/>
      <x:c r="E10" s="11" t="str"/>
      <x:c r="F10" s="11" t="str"/>
    </x:row>
  </x:sheetData>
  <x:dataValidations count="1">
    <x:dataValidation type="list" sqref="D2:D1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18" hidden="0" customWidth="1"/>
    <x:col min="4" max="4" width="42" hidden="0" customWidth="1"/>
    <x:col min="5" max="5" width="22" hidden="0" customWidth="1"/>
    <x:col min="6" max="6" width="16" hidden="0" customWidth="1"/>
  </x:cols>
  <x:sheetData>
    <x:row r="1">
      <x:c r="A1" s="10" t="str">
        <x:v>Design item</x:v>
      </x:c>
      <x:c r="B1" s="10" t="str">
        <x:v>Your decision / evidence</x:v>
      </x:c>
      <x:c r="C1" s="10" t="str">
        <x:v>Required?</x:v>
      </x:c>
      <x:c r="D1" s="10" t="str">
        <x:v>Check</x:v>
      </x:c>
      <x:c r="E1" s="10" t="str">
        <x:v>Observed</x:v>
      </x:c>
      <x:c r="F1" s="10" t="str">
        <x:v>Result</x:v>
      </x:c>
    </x:row>
    <x:row r="2">
      <x:c r="A2" s="11" t="str">
        <x:v>Date range</x:v>
      </x:c>
      <x:c r="B2" s="11" t="str"/>
      <x:c r="C2" s="11" t="str">
        <x:v>Yes</x:v>
      </x:c>
      <x:c r="D2" s="11" t="str">
        <x:v>Covers min/max business dates</x:v>
      </x:c>
      <x:c r="E2" s="11" t="str"/>
      <x:c r="F2" s="11" t="str"/>
    </x:row>
    <x:row r="3">
      <x:c r="A3" s="11" t="str">
        <x:v>Date key / Date column</x:v>
      </x:c>
      <x:c r="B3" s="11" t="str"/>
      <x:c r="C3" s="11" t="str">
        <x:v>Yes</x:v>
      </x:c>
      <x:c r="D3" s="11" t="str">
        <x:v>Unique one row/day</x:v>
      </x:c>
      <x:c r="E3" s="11" t="str"/>
      <x:c r="F3" s="11" t="str"/>
    </x:row>
    <x:row r="4">
      <x:c r="A4" s="11" t="str">
        <x:v>Year</x:v>
      </x:c>
      <x:c r="B4" s="11" t="str"/>
      <x:c r="C4" s="11" t="str">
        <x:v>Yes</x:v>
      </x:c>
      <x:c r="D4" s="11" t="str">
        <x:v>Derived from Date</x:v>
      </x:c>
      <x:c r="E4" s="11" t="str"/>
      <x:c r="F4" s="11" t="str"/>
    </x:row>
    <x:row r="5">
      <x:c r="A5" s="11" t="str">
        <x:v>Month number</x:v>
      </x:c>
      <x:c r="B5" s="11" t="str"/>
      <x:c r="C5" s="11" t="str">
        <x:v>Yes</x:v>
      </x:c>
      <x:c r="D5" s="11" t="str">
        <x:v>1-12</x:v>
      </x:c>
      <x:c r="E5" s="11" t="str"/>
      <x:c r="F5" s="11" t="str"/>
    </x:row>
    <x:row r="6">
      <x:c r="A6" s="11" t="str">
        <x:v>Month label</x:v>
      </x:c>
      <x:c r="B6" s="11" t="str"/>
      <x:c r="C6" s="11" t="str">
        <x:v>Yes</x:v>
      </x:c>
      <x:c r="D6" s="11" t="str">
        <x:v>Sortable by YearMonth or MonthNumber</x:v>
      </x:c>
      <x:c r="E6" s="11" t="str"/>
      <x:c r="F6" s="11" t="str"/>
    </x:row>
    <x:row r="7">
      <x:c r="A7" s="11" t="str">
        <x:v>YearMonth</x:v>
      </x:c>
      <x:c r="B7" s="11" t="str"/>
      <x:c r="C7" s="11" t="str">
        <x:v>Yes</x:v>
      </x:c>
      <x:c r="D7" s="11" t="str">
        <x:v>Unique chronological month label/key</x:v>
      </x:c>
      <x:c r="E7" s="11" t="str"/>
      <x:c r="F7" s="11" t="str"/>
    </x:row>
    <x:row r="8">
      <x:c r="A8" s="11" t="str">
        <x:v>Quarter</x:v>
      </x:c>
      <x:c r="B8" s="11" t="str"/>
      <x:c r="C8" s="11" t="str">
        <x:v>Optional</x:v>
      </x:c>
      <x:c r="D8" s="11" t="str">
        <x:v>If needed by business</x:v>
      </x:c>
      <x:c r="E8" s="11" t="str"/>
      <x:c r="F8" s="11" t="str"/>
    </x:row>
    <x:row r="9">
      <x:c r="A9" s="11" t="str">
        <x:v>Fiscal fields</x:v>
      </x:c>
      <x:c r="B9" s="11" t="str"/>
      <x:c r="C9" s="11" t="str">
        <x:v>Optional</x:v>
      </x:c>
      <x:c r="D9" s="11" t="str">
        <x:v>Only if business calendar requires</x:v>
      </x:c>
      <x:c r="E9" s="11" t="str"/>
      <x:c r="F9" s="11" t="str"/>
    </x:row>
    <x:row r="10">
      <x:c r="A10" s="11" t="str">
        <x:v>Contiguous dates</x:v>
      </x:c>
      <x:c r="B10" s="11" t="str"/>
      <x:c r="C10" s="11" t="str">
        <x:v>Yes</x:v>
      </x:c>
      <x:c r="D10" s="11" t="str">
        <x:v>No missing dates in modeled range</x:v>
      </x:c>
      <x:c r="E10" s="11" t="str"/>
      <x:c r="F10" s="11" t="str"/>
    </x:row>
    <x:row r="11">
      <x:c r="A11" s="11" t="str">
        <x:v>Marked/recognized as date table</x:v>
      </x:c>
      <x:c r="B11" s="11" t="str"/>
      <x:c r="C11" s="11" t="str">
        <x:v>Tool-specific</x:v>
      </x:c>
      <x:c r="D11" s="11" t="str">
        <x:v>Power BI Desktop evidence if used</x:v>
      </x:c>
      <x:c r="E11" s="11" t="str"/>
      <x:c r="F11" s="11" t="str"/>
    </x:row>
    <x:row r="12">
      <x:c r="A12" s="11" t="str">
        <x:v>Role-playing strategy</x:v>
      </x:c>
      <x:c r="B12" s="11" t="str"/>
      <x:c r="C12" s="11" t="str">
        <x:v>Yes</x:v>
      </x:c>
      <x:c r="D12" s="11" t="str">
        <x:v>Booking/ship/delivery/etc. deliberately handled</x:v>
      </x:c>
      <x:c r="E12" s="11" t="str"/>
      <x:c r="F12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54" hidden="0" customWidth="1"/>
  </x:cols>
  <x:sheetData>
    <x:row r="1">
      <x:c r="A1" s="10" t="str">
        <x:v>Control</x:v>
      </x:c>
      <x:c r="B1" s="10" t="str">
        <x:v>Raw expected</x:v>
      </x:c>
      <x:c r="C1" s="10" t="str">
        <x:v>Model observed</x:v>
      </x:c>
      <x:c r="D1" s="10" t="str">
        <x:v>Difference</x:v>
      </x:c>
      <x:c r="E1" s="10" t="str">
        <x:v>Status</x:v>
      </x:c>
      <x:c r="F1" s="10" t="str">
        <x:v>Evidence / query / screenshot</x:v>
      </x:c>
    </x:row>
    <x:row r="2">
      <x:c r="A2" s="11" t="str">
        <x:v>Meter readings</x:v>
      </x:c>
      <x:c r="B2" s="11" t="str"/>
      <x:c r="C2" s="11" t="str"/>
      <x:c r="D2" s="11" t="str">
        <x:f>IF(OR(B2="",C2=""),"",C2-B2)</x:f>
      </x:c>
      <x:c r="E2" s="11" t="str">
        <x:f>IF(D2="","",IF(ABS(D2)&lt;0.01,"PASS","CHECK"))</x:f>
      </x:c>
      <x:c r="F2" s="11" t="str"/>
    </x:row>
    <x:row r="3">
      <x:c r="A3" s="11" t="str">
        <x:v>Reading kWh total</x:v>
      </x:c>
      <x:c r="B3" s="11" t="str"/>
      <x:c r="C3" s="11" t="str"/>
      <x:c r="D3" s="11" t="str">
        <x:f>IF(OR(B3="",C3=""),"",C3-B3)</x:f>
      </x:c>
      <x:c r="E3" s="11" t="str">
        <x:f>IF(D3="","",IF(ABS(D3)&lt;0.01,"PASS","CHECK"))</x:f>
      </x:c>
      <x:c r="F3" s="11" t="str"/>
    </x:row>
    <x:row r="4">
      <x:c r="A4" s="11" t="str">
        <x:v>Alarms</x:v>
      </x:c>
      <x:c r="B4" s="11" t="str"/>
      <x:c r="C4" s="11" t="str"/>
      <x:c r="D4" s="11" t="str">
        <x:f>IF(OR(B4="",C4=""),"",C4-B4)</x:f>
      </x:c>
      <x:c r="E4" s="11" t="str">
        <x:f>IF(D4="","",IF(ABS(D4)&lt;0.01,"PASS","CHECK"))</x:f>
      </x:c>
      <x:c r="F4" s="11" t="str"/>
    </x:row>
    <x:row r="5">
      <x:c r="A5" s="11" t="str">
        <x:v>Meter-program rows</x:v>
      </x:c>
      <x:c r="B5" s="11" t="str"/>
      <x:c r="C5" s="11" t="str"/>
      <x:c r="D5" s="11" t="str">
        <x:f>IF(OR(B5="",C5=""),"",C5-B5)</x:f>
      </x:c>
      <x:c r="E5" s="11" t="str">
        <x:f>IF(D5="","",IF(ABS(D5)&lt;0.01,"PASS","CHECK"))</x:f>
      </x:c>
      <x:c r="F5" s="11" t="str"/>
    </x:row>
    <x:row r="6">
      <x:c r="A6" s="11" t="str">
        <x:v>Target rows</x:v>
      </x:c>
      <x:c r="B6" s="11" t="str"/>
      <x:c r="C6" s="11" t="str"/>
      <x:c r="D6" s="11" t="str">
        <x:f>IF(OR(B6="",C6=""),"",C6-B6)</x:f>
      </x:c>
      <x:c r="E6" s="11" t="str">
        <x:f>IF(D6="","",IF(ABS(D6)&lt;0.01,"PASS","CHECK"))</x:f>
      </x:c>
      <x:c r="F6" s="11" t="str"/>
    </x:row>
    <x:row r="7">
      <x:c r="A7" s="11" t="str">
        <x:v>Extra control 1</x:v>
      </x:c>
      <x:c r="B7" s="11" t="str"/>
      <x:c r="C7" s="11" t="str"/>
      <x:c r="D7" s="11" t="str">
        <x:f>IF(OR(B7="",C7=""),"",C7-B7)</x:f>
      </x:c>
      <x:c r="E7" s="11" t="str">
        <x:f>IF(D7="","",IF(ABS(D7)&lt;0.01,"PASS","CHECK"))</x:f>
      </x:c>
      <x:c r="F7" s="11" t="str"/>
    </x:row>
    <x:row r="8">
      <x:c r="A8" s="11" t="str">
        <x:v>Extra control 2</x:v>
      </x:c>
      <x:c r="B8" s="11" t="str"/>
      <x:c r="C8" s="11" t="str"/>
      <x:c r="D8" s="11" t="str">
        <x:f>IF(OR(B8="",C8=""),"",C8-B8)</x:f>
      </x:c>
      <x:c r="E8" s="11" t="str">
        <x:f>IF(D8="","",IF(ABS(D8)&lt;0.01,"PASS","CHECK"))</x:f>
      </x:c>
      <x:c r="F8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8" hidden="0" customWidth="1"/>
  </x:cols>
  <x:sheetData>
    <x:row r="1">
      <x:c r="A1" s="10" t="str">
        <x:v>Submission evidence</x:v>
      </x:c>
      <x:c r="B1" s="10" t="str">
        <x:v>Your artifact / explanation</x:v>
      </x:c>
    </x:row>
    <x:row r="2">
      <x:c r="A2" s="11" t="str">
        <x:v>One-sentence business process / model purpose</x:v>
      </x:c>
      <x:c r="B2" s="11" t="str"/>
    </x:row>
    <x:row r="3">
      <x:c r="A3" s="11" t="str">
        <x:v>Fact table(s) + grain</x:v>
      </x:c>
      <x:c r="B3" s="11" t="str"/>
    </x:row>
    <x:row r="4">
      <x:c r="A4" s="11" t="str">
        <x:v>Dimension table(s) + keys</x:v>
      </x:c>
      <x:c r="B4" s="11" t="str"/>
    </x:row>
    <x:row r="5">
      <x:c r="A5" s="11" t="str">
        <x:v>Bridge / many-to-many treatment</x:v>
      </x:c>
      <x:c r="B5" s="11" t="str"/>
    </x:row>
    <x:row r="6">
      <x:c r="A6" s="11" t="str">
        <x:v>Role-playing date treatment</x:v>
      </x:c>
      <x:c r="B6" s="11" t="str"/>
    </x:row>
    <x:row r="7">
      <x:c r="A7" s="11" t="str">
        <x:v>Relationship direction rationale</x:v>
      </x:c>
      <x:c r="B7" s="11" t="str"/>
    </x:row>
    <x:row r="8">
      <x:c r="A8" s="11" t="str">
        <x:v>Highest fan-out risk + prevention</x:v>
      </x:c>
      <x:c r="B8" s="11" t="str"/>
    </x:row>
    <x:row r="9">
      <x:c r="A9" s="11" t="str">
        <x:v>Raw-to-model reconciliation</x:v>
      </x:c>
      <x:c r="B9" s="11" t="str"/>
    </x:row>
    <x:row r="10">
      <x:c r="A10" s="11" t="str">
        <x:v>One model alternative rejected + why</x:v>
      </x:c>
      <x:c r="B10" s="11" t="str"/>
    </x:row>
    <x:row r="11">
      <x:c r="A11" s="11" t="str">
        <x:v>Power BI Desktop evidence / screenshots if used</x:v>
      </x:c>
      <x:c r="B11" s="11" t="str"/>
    </x:row>
    <x:row r="12">
      <x:c r="A12" s="11" t="str">
        <x:v>Data Engineering bridge</x:v>
      </x:c>
      <x:c r="B12" s="11" t="str">
        <x:v>How this model would map into warehouse fact/dimension tables / contracts.</x:v>
      </x:c>
    </x:row>
    <x:row r="13">
      <x:c r="A13" s="11" t="str">
        <x:v>60-90 sec defense</x:v>
      </x:c>
      <x:c r="B13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</x:cols>
  <x:sheetData>
    <x:row r="1">
      <x:c r="A1" s="10" t="str">
        <x:v>Modeling evidence summary</x:v>
      </x:c>
      <x:c r="B1" s="10" t="str">
        <x:v>Value</x:v>
      </x:c>
    </x:row>
    <x:row r="2">
      <x:c r="A2" s="11" t="str">
        <x:v>Sources inventoried</x:v>
      </x:c>
      <x:c r="B2" s="11" t="n">
        <x:v>6</x:v>
      </x:c>
    </x:row>
    <x:row r="3">
      <x:c r="A3" s="11" t="str">
        <x:v>Model tables proposed</x:v>
      </x:c>
      <x:c r="B3" s="11" t="n">
        <x:f>COUNTA(Model_Design!A2:A15)</x:f>
        <x:v>14</x:v>
      </x:c>
    </x:row>
    <x:row r="4">
      <x:c r="A4" s="11" t="str">
        <x:v>Relationships documented</x:v>
      </x:c>
      <x:c r="B4" s="11" t="n">
        <x:f>COUNTA(Relationships!A2:A17)</x:f>
        <x:v>16</x:v>
      </x:c>
    </x:row>
    <x:row r="5">
      <x:c r="A5" s="11" t="str">
        <x:v>Reconciliation PASS rows</x:v>
      </x:c>
      <x:c r="B5" s="11" t="n">
        <x:f>COUNTIF(Reconciliation!E2:E30,"PASS")</x:f>
        <x:v>0</x:v>
      </x:c>
    </x:row>
    <x:row r="6">
      <x:c r="A6" s="11" t="str">
        <x:v>Reconciliation CHECK rows</x:v>
      </x:c>
      <x:c r="B6" s="11" t="n">
        <x:f>COUNTIF(Reconciliation!E2:E30,"CHECK")</x:f>
        <x:v>0</x:v>
      </x:c>
    </x:row>
    <x:row r="7">
      <x:c r="A7" s="11" t="str">
        <x:v>Gate/Practice status</x:v>
      </x:c>
      <x:c r="B7" s="11" t="str">
        <x:v>Not Submitted</x:v>
      </x:c>
    </x:row>
    <x:row r="8">
      <x:c r="A8" s="11" t="str">
        <x:v>Release note</x:v>
      </x:c>
      <x:c r="B8" s="11" t="str">
        <x:v>Workbook is evidence/control packet; source CSV/JSON remain raw truth.</x:v>
      </x:c>
    </x:row>
  </x:sheetData>
  <x:dataValidations count="1">
    <x:dataValidation type="list" sqref="B7">
      <x:formula1>"Not Submitted,Attempted,Developing,Pass,Repair"</x:formula1>
    </x:dataValidation>
  </x:dataValidations>
  <x:pageMargins left="0.7" right="0.7" top="0.75" bottom="0.75" header="0.3" footer="0.3"/>
</x:worksheet>
</file>